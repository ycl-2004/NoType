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drawings/charts/chart3.xml" ContentType="application/vnd.openxmlformats-officedocument.drawingml.chart+xml"/>
  <Override PartName="/xl/worksheets/sheet4.xml" ContentType="application/vnd.openxmlformats-officedocument.spreadsheetml.worksheet+xml"/>
  <Override PartName="/xl/drawings/drawing3.xml" ContentType="application/vnd.openxmlformats-officedocument.drawing+xml"/>
  <Override PartName="/xl/drawings/charts/chart4.xml" ContentType="application/vnd.openxmlformats-officedocument.drawingml.chart+xml"/>
  <Override PartName="/xl/worksheets/sheet5.xml" ContentType="application/vnd.openxmlformats-officedocument.spreadsheetml.worksheet+xml"/>
  <Override PartName="/xl/drawings/drawing4.xml" ContentType="application/vnd.openxmlformats-officedocument.drawing+xml"/>
  <Override PartName="/xl/drawings/charts/chart5.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673efbcda8a4e5d" /></Relationships>
</file>

<file path=xl/workbook.xml><?xml version="1.0" encoding="utf-8"?>
<x:workbook xmlns:x="http://schemas.openxmlformats.org/spreadsheetml/2006/main">
  <x:sheets>
    <x:sheet xmlns:r="http://schemas.openxmlformats.org/officeDocument/2006/relationships" name="Executive Summary" sheetId="1" r:id="R57810b8a8b1e41ff"/>
    <x:sheet xmlns:r="http://schemas.openxmlformats.org/officeDocument/2006/relationships" name="Performance A-B" sheetId="2" r:id="R02842c23b6d944ef"/>
    <x:sheet xmlns:r="http://schemas.openxmlformats.org/officeDocument/2006/relationships" name="Reliability" sheetId="3" r:id="R730cbdc5265545d1"/>
    <x:sheet xmlns:r="http://schemas.openxmlformats.org/officeDocument/2006/relationships" name="Memory &amp; Compute" sheetId="4" r:id="R4459c5ae6bce4e15"/>
    <x:sheet xmlns:r="http://schemas.openxmlformats.org/officeDocument/2006/relationships" name="Storage Audit" sheetId="5" r:id="R3937f96a25eb45f9"/>
    <x:sheet xmlns:r="http://schemas.openxmlformats.org/officeDocument/2006/relationships" name="Model Architecture" sheetId="6" r:id="R0916996b087d4fd6"/>
    <x:sheet xmlns:r="http://schemas.openxmlformats.org/officeDocument/2006/relationships" name="Method &amp; Sources" sheetId="7" r:id="Rcfb9c50a6f764d0a"/>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0"/>
    <x:numFmt numFmtId="201" formatCode="0.00"/>
    <x:numFmt numFmtId="202" formatCode="0.0%"/>
    <x:numFmt numFmtId="203" formatCode="0"/>
    <x:numFmt numFmtId="204" formatCode="0.0"/>
    <x:numFmt numFmtId="205" formatCode="0.00 &quot;GiB&quot;"/>
  </x:numFmts>
  <x:fonts count="12">
    <x:font>
      <x:sz val="11"/>
      <x:name val="Carlito"/>
    </x:font>
    <x:font>
      <x:b/>
      <x:sz val="20"/>
      <x:color rgb="FFFFFFFF"/>
      <x:name val="Carlito"/>
    </x:font>
    <x:font>
      <x:sz val="10"/>
      <x:color rgb="FFCBD5E1"/>
      <x:name val="Carlito"/>
    </x:font>
    <x:font>
      <x:sz val="9"/>
      <x:color rgb="FF64748B"/>
      <x:name val="Carlito"/>
    </x:font>
    <x:font>
      <x:b/>
      <x:sz val="10"/>
      <x:color rgb="FFFFFFFF"/>
      <x:name val="Carlito"/>
    </x:font>
    <x:font>
      <x:sz val="10"/>
      <x:color rgb="FF172033"/>
      <x:name val="Carlito"/>
    </x:font>
    <x:font>
      <x:b/>
      <x:sz val="11"/>
      <x:color rgb="FF172033"/>
      <x:name val="Carlito"/>
    </x:font>
    <x:font>
      <x:sz val="8"/>
      <x:color rgb="FF64748B"/>
      <x:name val="Carlito"/>
    </x:font>
    <x:font>
      <x:sz val="10"/>
      <x:color rgb="FFB45309"/>
      <x:name val="Carlito"/>
    </x:font>
    <x:font>
      <x:b/>
      <x:sz val="9"/>
      <x:color rgb="FF64748B"/>
      <x:name val="Carlito"/>
    </x:font>
    <x:font>
      <x:b/>
      <x:sz val="22"/>
      <x:color rgb="FF172033"/>
      <x:name val="Carlito"/>
    </x:font>
    <x:font>
      <x:sz val="11"/>
      <x:color rgb="FF172033"/>
      <x:name val="Carlito"/>
    </x:font>
  </x:fonts>
  <x:fills count="11">
    <x:fill>
      <x:patternFill patternType="none"/>
    </x:fill>
    <x:fill>
      <x:patternFill patternType="gray125"/>
    </x:fill>
    <x:fill>
      <x:patternFill patternType="solid">
        <x:fgColor rgb="FF172033"/>
      </x:patternFill>
    </x:fill>
    <x:fill>
      <x:patternFill patternType="solid">
        <x:fgColor rgb="FFF8FAFC"/>
      </x:patternFill>
    </x:fill>
    <x:fill>
      <x:patternFill patternType="solid">
        <x:fgColor rgb="FFFFF1E8"/>
      </x:patternFill>
    </x:fill>
    <x:fill>
      <x:patternFill patternType="solid">
        <x:fgColor rgb="FFE2E8F0"/>
      </x:patternFill>
    </x:fill>
    <x:fill>
      <x:patternFill patternType="solid">
        <x:fgColor rgb="FFFFF7E6"/>
      </x:patternFill>
    </x:fill>
    <x:fill>
      <x:patternFill patternType="solid">
        <x:fgColor rgb="FFEAF1FF"/>
      </x:patternFill>
    </x:fill>
    <x:fill>
      <x:patternFill patternType="solid">
        <x:fgColor rgb="FFFEECEC"/>
      </x:patternFill>
    </x:fill>
    <x:fill>
      <x:patternFill patternType="solid">
        <x:fgColor rgb="FFEAF7EE"/>
      </x:patternFill>
    </x:fill>
    <x:fill>
      <x:patternFill patternType="solid">
        <x:fgColor rgb="FFE7F6F3"/>
      </x:patternFill>
    </x:fill>
  </x:fills>
  <x:borders count="45">
    <x:border/>
    <x:border>
      <x:left style="thin">
        <x:color rgb="FF64748B"/>
      </x:left>
      <x:top style="thin">
        <x:color rgb="FF64748B"/>
      </x:top>
      <x:bottom style="thin">
        <x:color rgb="FF64748B"/>
      </x:bottom>
    </x:border>
    <x:border>
      <x:top style="thin">
        <x:color rgb="FF64748B"/>
      </x:top>
      <x:bottom style="thin">
        <x:color rgb="FF64748B"/>
      </x:bottom>
    </x:border>
    <x:border>
      <x:right style="thin">
        <x:color rgb="FF64748B"/>
      </x:right>
      <x:top style="thin">
        <x:color rgb="FF64748B"/>
      </x:top>
      <x:bottom style="thin">
        <x:color rgb="FF64748B"/>
      </x:bottom>
    </x:border>
    <x:border>
      <x:bottom style="thin">
        <x:color rgb="FFE2E8F0"/>
      </x:bottom>
    </x:border>
    <x:border>
      <x:top style="thin">
        <x:color rgb="FFE2E8F0"/>
      </x:top>
      <x:bottom style="thin">
        <x:color rgb="FFE2E8F0"/>
      </x:bottom>
    </x:border>
    <x:border>
      <x:left style="thin">
        <x:color rgb="FFF3D29B"/>
      </x:left>
      <x:top style="thin">
        <x:color rgb="FFF3D29B"/>
      </x:top>
    </x:border>
    <x:border>
      <x:top style="thin">
        <x:color rgb="FFF3D29B"/>
      </x:top>
    </x:border>
    <x:border>
      <x:right style="thin">
        <x:color rgb="FFF3D29B"/>
      </x:right>
      <x:top style="thin">
        <x:color rgb="FFF3D29B"/>
      </x:top>
    </x:border>
    <x:border>
      <x:left style="thin">
        <x:color rgb="FFF3D29B"/>
      </x:left>
    </x:border>
    <x:border>
      <x:right style="thin">
        <x:color rgb="FFF3D29B"/>
      </x:right>
    </x:border>
    <x:border>
      <x:left style="thin">
        <x:color rgb="FFF3D29B"/>
      </x:left>
      <x:bottom style="thin">
        <x:color rgb="FFF3D29B"/>
      </x:bottom>
    </x:border>
    <x:border>
      <x:bottom style="thin">
        <x:color rgb="FFF3D29B"/>
      </x:bottom>
    </x:border>
    <x:border>
      <x:right style="thin">
        <x:color rgb="FFF3D29B"/>
      </x:right>
      <x:bottom style="thin">
        <x:color rgb="FFF3D29B"/>
      </x:bottom>
    </x:border>
    <x:border>
      <x:left style="thin">
        <x:color rgb="FFB8CCF5"/>
      </x:left>
      <x:top style="thin">
        <x:color rgb="FFB8CCF5"/>
      </x:top>
    </x:border>
    <x:border>
      <x:top style="thin">
        <x:color rgb="FFB8CCF5"/>
      </x:top>
    </x:border>
    <x:border>
      <x:right style="thin">
        <x:color rgb="FFB8CCF5"/>
      </x:right>
      <x:top style="thin">
        <x:color rgb="FFB8CCF5"/>
      </x:top>
    </x:border>
    <x:border>
      <x:left style="thin">
        <x:color rgb="FFB8CCF5"/>
      </x:left>
    </x:border>
    <x:border>
      <x:right style="thin">
        <x:color rgb="FFB8CCF5"/>
      </x:right>
    </x:border>
    <x:border>
      <x:left style="thin">
        <x:color rgb="FFB8CCF5"/>
      </x:left>
      <x:bottom style="thin">
        <x:color rgb="FFB8CCF5"/>
      </x:bottom>
    </x:border>
    <x:border>
      <x:bottom style="thin">
        <x:color rgb="FFB8CCF5"/>
      </x:bottom>
    </x:border>
    <x:border>
      <x:right style="thin">
        <x:color rgb="FFB8CCF5"/>
      </x:right>
      <x:bottom style="thin">
        <x:color rgb="FFB8CCF5"/>
      </x:bottom>
    </x:border>
    <x:border>
      <x:left style="thin">
        <x:color rgb="FFE2E8F0"/>
      </x:left>
      <x:top style="thin">
        <x:color rgb="FFE2E8F0"/>
      </x:top>
    </x:border>
    <x:border>
      <x:top style="thin">
        <x:color rgb="FFE2E8F0"/>
      </x:top>
    </x:border>
    <x:border>
      <x:right style="thin">
        <x:color rgb="FFE2E8F0"/>
      </x:right>
      <x:top style="thin">
        <x:color rgb="FFE2E8F0"/>
      </x:top>
    </x:border>
    <x:border>
      <x:left style="thin">
        <x:color rgb="FFE2E8F0"/>
      </x:left>
    </x:border>
    <x:border>
      <x:right style="thin">
        <x:color rgb="FFE2E8F0"/>
      </x:right>
    </x:border>
    <x:border>
      <x:left style="thin">
        <x:color rgb="FFE2E8F0"/>
      </x:left>
      <x:bottom style="thin">
        <x:color rgb="FFE2E8F0"/>
      </x:bottom>
    </x:border>
    <x:border>
      <x:right style="thin">
        <x:color rgb="FFE2E8F0"/>
      </x:right>
      <x:bottom style="thin">
        <x:color rgb="FFE2E8F0"/>
      </x:bottom>
    </x:border>
    <x:border>
      <x:left style="thin">
        <x:color rgb="FFF7C9AB"/>
      </x:left>
      <x:top style="thin">
        <x:color rgb="FFF7C9AB"/>
      </x:top>
    </x:border>
    <x:border>
      <x:top style="thin">
        <x:color rgb="FFF7C9AB"/>
      </x:top>
    </x:border>
    <x:border>
      <x:right style="thin">
        <x:color rgb="FFF7C9AB"/>
      </x:right>
      <x:top style="thin">
        <x:color rgb="FFF7C9AB"/>
      </x:top>
    </x:border>
    <x:border>
      <x:left style="thin">
        <x:color rgb="FFF7C9AB"/>
      </x:left>
    </x:border>
    <x:border>
      <x:right style="thin">
        <x:color rgb="FFF7C9AB"/>
      </x:right>
    </x:border>
    <x:border>
      <x:left style="thin">
        <x:color rgb="FFF7C9AB"/>
      </x:left>
      <x:bottom style="thin">
        <x:color rgb="FFF7C9AB"/>
      </x:bottom>
    </x:border>
    <x:border>
      <x:bottom style="thin">
        <x:color rgb="FFF7C9AB"/>
      </x:bottom>
    </x:border>
    <x:border>
      <x:right style="thin">
        <x:color rgb="FFF7C9AB"/>
      </x:right>
      <x:bottom style="thin">
        <x:color rgb="FFF7C9AB"/>
      </x:bottom>
    </x:border>
    <x:border>
      <x:left style="thin">
        <x:color rgb="FFA8DDB5"/>
      </x:left>
      <x:top style="thin">
        <x:color rgb="FFA8DDB5"/>
      </x:top>
    </x:border>
    <x:border>
      <x:top style="thin">
        <x:color rgb="FFA8DDB5"/>
      </x:top>
    </x:border>
    <x:border>
      <x:right style="thin">
        <x:color rgb="FFA8DDB5"/>
      </x:right>
      <x:top style="thin">
        <x:color rgb="FFA8DDB5"/>
      </x:top>
    </x:border>
    <x:border>
      <x:left style="thin">
        <x:color rgb="FFA8DDB5"/>
      </x:left>
    </x:border>
    <x:border>
      <x:right style="thin">
        <x:color rgb="FFA8DDB5"/>
      </x:right>
    </x:border>
    <x:border>
      <x:left style="thin">
        <x:color rgb="FFA8DDB5"/>
      </x:left>
      <x:bottom style="thin">
        <x:color rgb="FFA8DDB5"/>
      </x:bottom>
    </x:border>
    <x:border>
      <x:bottom style="thin">
        <x:color rgb="FFA8DDB5"/>
      </x:bottom>
    </x:border>
    <x:border>
      <x:right style="thin">
        <x:color rgb="FFA8DDB5"/>
      </x:right>
      <x:bottom style="thin">
        <x:color rgb="FFA8DDB5"/>
      </x:bottom>
    </x:border>
  </x:borders>
  <x:cellStyleXfs count="1">
    <x:xf numFmtId="0" fontId="0" fillId="0" borderId="0"/>
  </x:cellStyleXfs>
  <x:cellXfs count="34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2" borderId="0" xfId="0" applyNumberFormat="1" applyFont="1" applyFill="1" applyBorder="1"/>
    <x:xf numFmtId="0" fontId="2"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4" fillId="2" borderId="0" xfId="0" applyNumberFormat="1" applyFont="1" applyFill="1" applyBorder="1"/>
    <x:xf numFmtId="0" fontId="4" fillId="2" borderId="1"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4" fillId="2" borderId="1" xfId="0" applyNumberFormat="1" applyFont="1" applyFill="1" applyBorder="1" applyAlignment="1">
      <x:alignment wrapText="1"/>
    </x:xf>
    <x:xf numFmtId="0" fontId="4" fillId="2" borderId="2" xfId="0" applyNumberFormat="1" applyFont="1" applyFill="1" applyBorder="1" applyAlignment="1">
      <x:alignment wrapText="1"/>
    </x:xf>
    <x:xf numFmtId="0" fontId="4" fillId="2" borderId="3" xfId="0" applyNumberFormat="1" applyFont="1" applyFill="1" applyBorder="1" applyAlignment="1">
      <x:alignment wrapText="1"/>
    </x:xf>
    <x:xf numFmtId="0" fontId="4" fillId="2" borderId="1" xfId="0" applyNumberFormat="1" applyFont="1" applyFill="1" applyBorder="1" applyAlignment="1">
      <x:alignment vertical="center" wrapText="1"/>
    </x:xf>
    <x:xf numFmtId="0" fontId="4" fillId="2" borderId="2" xfId="0" applyNumberFormat="1" applyFont="1" applyFill="1" applyBorder="1" applyAlignment="1">
      <x:alignment vertical="center" wrapText="1"/>
    </x:xf>
    <x:xf numFmtId="0" fontId="4" fillId="2" borderId="3" xfId="0" applyNumberFormat="1" applyFont="1" applyFill="1" applyBorder="1" applyAlignment="1">
      <x:alignment vertical="center" wrapText="1"/>
    </x:xf>
    <x:xf numFmtId="0" fontId="5" fillId="0" borderId="0"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200" fontId="5" fillId="0" borderId="4"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1" fontId="5" fillId="0" borderId="4" xfId="0" applyNumberFormat="1" applyFont="1" applyFill="1" applyBorder="1" applyAlignment="1">
      <x:alignment vertical="top" wrapText="1"/>
    </x:xf>
    <x:xf numFmtId="201" fontId="5" fillId="0" borderId="5" xfId="0" applyNumberFormat="1" applyFont="1" applyFill="1" applyBorder="1" applyAlignment="1">
      <x:alignment vertical="top" wrapText="1"/>
    </x:xf>
    <x:xf numFmtId="202" fontId="5" fillId="0" borderId="4" xfId="0" applyNumberFormat="1" applyFont="1" applyFill="1" applyBorder="1" applyAlignment="1">
      <x:alignment vertical="top" wrapText="1"/>
    </x:xf>
    <x:xf numFmtId="202" fontId="5" fillId="0" borderId="5" xfId="0" applyNumberFormat="1" applyFont="1" applyFill="1" applyBorder="1" applyAlignment="1">
      <x:alignment vertical="top" wrapText="1"/>
    </x:xf>
    <x:xf numFmtId="0" fontId="0" fillId="4" borderId="0" xfId="0" applyNumberFormat="1" applyFont="1" applyFill="1" applyBorder="1"/>
    <x:xf numFmtId="0" fontId="6" fillId="4" borderId="0" xfId="0" applyNumberFormat="1" applyFont="1" applyFill="1" applyBorder="1"/>
    <x:xf numFmtId="202" fontId="6" fillId="4" borderId="0"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1"/>
    </x:xf>
    <x:xf numFmtId="203" fontId="5" fillId="0" borderId="4" xfId="0" applyNumberFormat="1" applyFont="1" applyFill="1" applyBorder="1" applyAlignment="1">
      <x:alignment vertical="top" wrapText="1"/>
    </x:xf>
    <x:xf numFmtId="203" fontId="5" fillId="0" borderId="5"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vertical="center"/>
    </x:xf>
    <x:xf numFmtId="0" fontId="0" fillId="6" borderId="0" xfId="0" applyNumberFormat="1" applyFont="1" applyFill="1" applyBorder="1"/>
    <x:xf numFmtId="0" fontId="8" fillId="6" borderId="0" xfId="0" applyNumberFormat="1" applyFont="1" applyFill="1" applyBorder="1"/>
    <x:xf numFmtId="0" fontId="8" fillId="6" borderId="6" xfId="0" applyNumberFormat="1" applyFont="1" applyFill="1" applyBorder="1"/>
    <x:xf numFmtId="0" fontId="8" fillId="6" borderId="7" xfId="0" applyNumberFormat="1" applyFont="1" applyFill="1" applyBorder="1"/>
    <x:xf numFmtId="0" fontId="8" fillId="6" borderId="8" xfId="0" applyNumberFormat="1" applyFont="1" applyFill="1" applyBorder="1"/>
    <x:xf numFmtId="0" fontId="8" fillId="6" borderId="9" xfId="0" applyNumberFormat="1" applyFont="1" applyFill="1" applyBorder="1"/>
    <x:xf numFmtId="0" fontId="8" fillId="6" borderId="10" xfId="0" applyNumberFormat="1" applyFont="1" applyFill="1" applyBorder="1"/>
    <x:xf numFmtId="0" fontId="8" fillId="6" borderId="11" xfId="0" applyNumberFormat="1" applyFont="1" applyFill="1" applyBorder="1"/>
    <x:xf numFmtId="0" fontId="8" fillId="6" borderId="12" xfId="0" applyNumberFormat="1" applyFont="1" applyFill="1" applyBorder="1"/>
    <x:xf numFmtId="0" fontId="8" fillId="6" borderId="13" xfId="0" applyNumberFormat="1" applyFont="1" applyFill="1" applyBorder="1"/>
    <x:xf numFmtId="0" fontId="8" fillId="6" borderId="6" xfId="0" applyNumberFormat="1" applyFont="1" applyFill="1" applyBorder="1" applyAlignment="1">
      <x:alignment wrapText="1"/>
    </x:xf>
    <x:xf numFmtId="0" fontId="8" fillId="6" borderId="7" xfId="0" applyNumberFormat="1" applyFont="1" applyFill="1" applyBorder="1" applyAlignment="1">
      <x:alignment wrapText="1"/>
    </x:xf>
    <x:xf numFmtId="0" fontId="8" fillId="6" borderId="8" xfId="0" applyNumberFormat="1" applyFont="1" applyFill="1" applyBorder="1" applyAlignment="1">
      <x:alignment wrapText="1"/>
    </x:xf>
    <x:xf numFmtId="0" fontId="8" fillId="6" borderId="9" xfId="0" applyNumberFormat="1" applyFont="1" applyFill="1" applyBorder="1" applyAlignment="1">
      <x:alignment wrapText="1"/>
    </x:xf>
    <x:xf numFmtId="0" fontId="8" fillId="6" borderId="0" xfId="0" applyNumberFormat="1" applyFont="1" applyFill="1" applyBorder="1" applyAlignment="1">
      <x:alignment wrapText="1"/>
    </x:xf>
    <x:xf numFmtId="0" fontId="8" fillId="6" borderId="10" xfId="0" applyNumberFormat="1" applyFont="1" applyFill="1" applyBorder="1" applyAlignment="1">
      <x:alignment wrapText="1"/>
    </x:xf>
    <x:xf numFmtId="0" fontId="8" fillId="6" borderId="11" xfId="0" applyNumberFormat="1" applyFont="1" applyFill="1" applyBorder="1" applyAlignment="1">
      <x:alignment wrapText="1"/>
    </x:xf>
    <x:xf numFmtId="0" fontId="8" fillId="6" borderId="12" xfId="0" applyNumberFormat="1" applyFont="1" applyFill="1" applyBorder="1" applyAlignment="1">
      <x:alignment wrapText="1"/>
    </x:xf>
    <x:xf numFmtId="0" fontId="8" fillId="6" borderId="13" xfId="0" applyNumberFormat="1" applyFont="1" applyFill="1" applyBorder="1" applyAlignment="1">
      <x:alignment wrapText="1"/>
    </x:xf>
    <x:xf numFmtId="0" fontId="8" fillId="6" borderId="6" xfId="0" applyNumberFormat="1" applyFont="1" applyFill="1" applyBorder="1" applyAlignment="1">
      <x:alignment vertical="top" wrapText="1"/>
    </x:xf>
    <x:xf numFmtId="0" fontId="8" fillId="6" borderId="7" xfId="0" applyNumberFormat="1" applyFont="1" applyFill="1" applyBorder="1" applyAlignment="1">
      <x:alignment vertical="top" wrapText="1"/>
    </x:xf>
    <x:xf numFmtId="0" fontId="8" fillId="6" borderId="8" xfId="0" applyNumberFormat="1" applyFont="1" applyFill="1" applyBorder="1" applyAlignment="1">
      <x:alignment vertical="top" wrapText="1"/>
    </x:xf>
    <x:xf numFmtId="0" fontId="8" fillId="6" borderId="9"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0" xfId="0" applyNumberFormat="1" applyFont="1" applyFill="1" applyBorder="1" applyAlignment="1">
      <x:alignment vertical="top" wrapText="1"/>
    </x:xf>
    <x:xf numFmtId="0" fontId="8" fillId="6" borderId="11" xfId="0" applyNumberFormat="1" applyFont="1" applyFill="1" applyBorder="1" applyAlignment="1">
      <x:alignment vertical="top" wrapText="1"/>
    </x:xf>
    <x:xf numFmtId="0" fontId="8" fillId="6" borderId="12" xfId="0" applyNumberFormat="1" applyFont="1" applyFill="1" applyBorder="1" applyAlignment="1">
      <x:alignment vertical="top" wrapText="1"/>
    </x:xf>
    <x:xf numFmtId="0" fontId="8" fillId="6" borderId="13" xfId="0" applyNumberFormat="1" applyFont="1" applyFill="1" applyBorder="1" applyAlignment="1">
      <x:alignment vertical="top" wrapText="1"/>
    </x:xf>
    <x:xf numFmtId="204" fontId="5" fillId="0" borderId="4" xfId="0" applyNumberFormat="1" applyFont="1" applyFill="1" applyBorder="1" applyAlignment="1">
      <x:alignment vertical="top" wrapText="1"/>
    </x:xf>
    <x:xf numFmtId="204" fontId="5" fillId="0" borderId="5" xfId="0" applyNumberFormat="1" applyFont="1" applyFill="1" applyBorder="1" applyAlignment="1">
      <x:alignment vertical="top" wrapText="1"/>
    </x:xf>
    <x:xf numFmtId="0" fontId="0" fillId="7" borderId="0" xfId="0" applyNumberFormat="1" applyFont="1" applyFill="1" applyBorder="1"/>
    <x:xf numFmtId="0" fontId="5" fillId="7" borderId="0" xfId="0" applyNumberFormat="1" applyFont="1" applyFill="1" applyBorder="1"/>
    <x:xf numFmtId="0" fontId="5" fillId="7" borderId="14" xfId="0" applyNumberFormat="1" applyFont="1" applyFill="1" applyBorder="1"/>
    <x:xf numFmtId="0" fontId="5" fillId="7" borderId="15" xfId="0" applyNumberFormat="1" applyFont="1" applyFill="1" applyBorder="1"/>
    <x:xf numFmtId="0" fontId="5" fillId="7" borderId="16" xfId="0" applyNumberFormat="1" applyFont="1" applyFill="1" applyBorder="1"/>
    <x:xf numFmtId="0" fontId="5" fillId="7" borderId="17" xfId="0" applyNumberFormat="1" applyFont="1" applyFill="1" applyBorder="1"/>
    <x:xf numFmtId="0" fontId="5" fillId="7" borderId="18" xfId="0" applyNumberFormat="1" applyFont="1" applyFill="1" applyBorder="1"/>
    <x:xf numFmtId="0" fontId="5" fillId="7" borderId="19" xfId="0" applyNumberFormat="1" applyFont="1" applyFill="1" applyBorder="1"/>
    <x:xf numFmtId="0" fontId="5" fillId="7" borderId="20" xfId="0" applyNumberFormat="1" applyFont="1" applyFill="1" applyBorder="1"/>
    <x:xf numFmtId="0" fontId="5" fillId="7" borderId="21" xfId="0" applyNumberFormat="1" applyFont="1" applyFill="1" applyBorder="1"/>
    <x:xf numFmtId="0" fontId="5" fillId="7" borderId="14" xfId="0" applyNumberFormat="1" applyFont="1" applyFill="1" applyBorder="1" applyAlignment="1">
      <x:alignment wrapText="1"/>
    </x:xf>
    <x:xf numFmtId="0" fontId="5" fillId="7" borderId="15" xfId="0" applyNumberFormat="1" applyFont="1" applyFill="1" applyBorder="1" applyAlignment="1">
      <x:alignment wrapText="1"/>
    </x:xf>
    <x:xf numFmtId="0" fontId="5" fillId="7" borderId="16" xfId="0" applyNumberFormat="1" applyFont="1" applyFill="1" applyBorder="1" applyAlignment="1">
      <x:alignment wrapText="1"/>
    </x:xf>
    <x:xf numFmtId="0" fontId="5" fillId="7" borderId="17" xfId="0" applyNumberFormat="1" applyFont="1" applyFill="1" applyBorder="1" applyAlignment="1">
      <x:alignment wrapText="1"/>
    </x:xf>
    <x:xf numFmtId="0" fontId="5" fillId="7" borderId="0" xfId="0" applyNumberFormat="1" applyFont="1" applyFill="1" applyBorder="1" applyAlignment="1">
      <x:alignment wrapText="1"/>
    </x:xf>
    <x:xf numFmtId="0" fontId="5" fillId="7" borderId="18" xfId="0" applyNumberFormat="1" applyFont="1" applyFill="1" applyBorder="1" applyAlignment="1">
      <x:alignment wrapText="1"/>
    </x:xf>
    <x:xf numFmtId="0" fontId="5" fillId="7" borderId="19" xfId="0" applyNumberFormat="1" applyFont="1" applyFill="1" applyBorder="1" applyAlignment="1">
      <x:alignment wrapText="1"/>
    </x:xf>
    <x:xf numFmtId="0" fontId="5" fillId="7" borderId="20" xfId="0" applyNumberFormat="1" applyFont="1" applyFill="1" applyBorder="1" applyAlignment="1">
      <x:alignment wrapText="1"/>
    </x:xf>
    <x:xf numFmtId="0" fontId="5" fillId="7" borderId="21" xfId="0" applyNumberFormat="1" applyFont="1" applyFill="1" applyBorder="1" applyAlignment="1">
      <x:alignment wrapText="1"/>
    </x:xf>
    <x:xf numFmtId="0" fontId="5" fillId="7" borderId="14" xfId="0" applyNumberFormat="1" applyFont="1" applyFill="1" applyBorder="1" applyAlignment="1">
      <x:alignment vertical="top" wrapText="1"/>
    </x:xf>
    <x:xf numFmtId="0" fontId="5" fillId="7" borderId="15" xfId="0" applyNumberFormat="1" applyFont="1" applyFill="1" applyBorder="1" applyAlignment="1">
      <x:alignment vertical="top" wrapText="1"/>
    </x:xf>
    <x:xf numFmtId="0" fontId="5" fillId="7" borderId="16" xfId="0" applyNumberFormat="1" applyFont="1" applyFill="1" applyBorder="1" applyAlignment="1">
      <x:alignment vertical="top" wrapText="1"/>
    </x:xf>
    <x:xf numFmtId="0" fontId="5" fillId="7" borderId="17"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5" fillId="7" borderId="18" xfId="0" applyNumberFormat="1" applyFont="1" applyFill="1" applyBorder="1" applyAlignment="1">
      <x:alignment vertical="top" wrapText="1"/>
    </x:xf>
    <x:xf numFmtId="0" fontId="5" fillId="7" borderId="19" xfId="0" applyNumberFormat="1" applyFont="1" applyFill="1" applyBorder="1" applyAlignment="1">
      <x:alignment vertical="top" wrapText="1"/>
    </x:xf>
    <x:xf numFmtId="0" fontId="5" fillId="7" borderId="20" xfId="0" applyNumberFormat="1" applyFont="1" applyFill="1" applyBorder="1" applyAlignment="1">
      <x:alignment vertical="top" wrapText="1"/>
    </x:xf>
    <x:xf numFmtId="0" fontId="5" fillId="7" borderId="21" xfId="0" applyNumberFormat="1" applyFont="1" applyFill="1" applyBorder="1" applyAlignment="1">
      <x:alignment vertical="top" wrapText="1"/>
    </x:xf>
    <x:xf numFmtId="0" fontId="0" fillId="8" borderId="0" xfId="0" applyNumberFormat="1" applyFont="1" applyFill="1" applyBorder="1"/>
    <x:xf numFmtId="0" fontId="0" fillId="8" borderId="22" xfId="0" applyNumberFormat="1" applyFont="1" applyFill="1" applyBorder="1"/>
    <x:xf numFmtId="0" fontId="0" fillId="8" borderId="23" xfId="0" applyNumberFormat="1" applyFont="1" applyFill="1" applyBorder="1"/>
    <x:xf numFmtId="0" fontId="0" fillId="8" borderId="24" xfId="0" applyNumberFormat="1" applyFont="1" applyFill="1" applyBorder="1"/>
    <x:xf numFmtId="0" fontId="0" fillId="8" borderId="25" xfId="0" applyNumberFormat="1" applyFont="1" applyFill="1" applyBorder="1"/>
    <x:xf numFmtId="0" fontId="0" fillId="8" borderId="26" xfId="0" applyNumberFormat="1" applyFont="1" applyFill="1" applyBorder="1"/>
    <x:xf numFmtId="0" fontId="0" fillId="8" borderId="27" xfId="0" applyNumberFormat="1" applyFont="1" applyFill="1" applyBorder="1"/>
    <x:xf numFmtId="0" fontId="0" fillId="8" borderId="4" xfId="0" applyNumberFormat="1" applyFont="1" applyFill="1" applyBorder="1"/>
    <x:xf numFmtId="0" fontId="0" fillId="8" borderId="28" xfId="0" applyNumberFormat="1" applyFont="1" applyFill="1" applyBorder="1"/>
    <x:xf numFmtId="0" fontId="9" fillId="8" borderId="22" xfId="0" applyNumberFormat="1" applyFont="1" applyFill="1" applyBorder="1"/>
    <x:xf numFmtId="0" fontId="9" fillId="8" borderId="23" xfId="0" applyNumberFormat="1" applyFont="1" applyFill="1" applyBorder="1"/>
    <x:xf numFmtId="0" fontId="9" fillId="8" borderId="24" xfId="0" applyNumberFormat="1" applyFont="1" applyFill="1" applyBorder="1"/>
    <x:xf numFmtId="0" fontId="9" fillId="8" borderId="22" xfId="0" applyNumberFormat="1" applyFont="1" applyFill="1" applyBorder="1" applyAlignment="1">
      <x:alignment vertical="center"/>
    </x:xf>
    <x:xf numFmtId="0" fontId="9" fillId="8" borderId="23" xfId="0" applyNumberFormat="1" applyFont="1" applyFill="1" applyBorder="1" applyAlignment="1">
      <x:alignment vertical="center"/>
    </x:xf>
    <x:xf numFmtId="0" fontId="9" fillId="8" borderId="24" xfId="0" applyNumberFormat="1" applyFont="1" applyFill="1" applyBorder="1" applyAlignment="1">
      <x:alignment vertical="center"/>
    </x:xf>
    <x:xf numFmtId="0" fontId="10" fillId="8" borderId="25" xfId="0" applyNumberFormat="1" applyFont="1" applyFill="1" applyBorder="1"/>
    <x:xf numFmtId="0" fontId="10" fillId="8" borderId="0" xfId="0" applyNumberFormat="1" applyFont="1" applyFill="1" applyBorder="1"/>
    <x:xf numFmtId="0" fontId="10" fillId="8" borderId="26" xfId="0" applyNumberFormat="1" applyFont="1" applyFill="1" applyBorder="1"/>
    <x:xf numFmtId="0" fontId="10" fillId="8" borderId="25" xfId="0" applyNumberFormat="1" applyFont="1" applyFill="1" applyBorder="1" applyAlignment="1">
      <x:alignment vertical="center"/>
    </x:xf>
    <x:xf numFmtId="0" fontId="10" fillId="8" borderId="0" xfId="0" applyNumberFormat="1" applyFont="1" applyFill="1" applyBorder="1" applyAlignment="1">
      <x:alignment vertical="center"/>
    </x:xf>
    <x:xf numFmtId="0" fontId="10" fillId="8" borderId="26" xfId="0" applyNumberFormat="1" applyFont="1" applyFill="1" applyBorder="1" applyAlignment="1">
      <x:alignment vertical="center"/>
    </x:xf>
    <x:xf numFmtId="205" fontId="10" fillId="8" borderId="25" xfId="0" applyNumberFormat="1" applyFont="1" applyFill="1" applyBorder="1" applyAlignment="1">
      <x:alignment vertical="center"/>
    </x:xf>
    <x:xf numFmtId="205" fontId="10" fillId="8" borderId="0" xfId="0" applyNumberFormat="1" applyFont="1" applyFill="1" applyBorder="1" applyAlignment="1">
      <x:alignment vertical="center"/>
    </x:xf>
    <x:xf numFmtId="205" fontId="10" fillId="8" borderId="26" xfId="0" applyNumberFormat="1" applyFont="1" applyFill="1" applyBorder="1" applyAlignment="1">
      <x:alignment vertical="center"/>
    </x:xf>
    <x:xf numFmtId="0" fontId="7" fillId="8" borderId="27" xfId="0" applyNumberFormat="1" applyFont="1" applyFill="1" applyBorder="1"/>
    <x:xf numFmtId="0" fontId="7" fillId="8" borderId="4" xfId="0" applyNumberFormat="1" applyFont="1" applyFill="1" applyBorder="1"/>
    <x:xf numFmtId="0" fontId="7" fillId="8" borderId="28" xfId="0" applyNumberFormat="1" applyFont="1" applyFill="1" applyBorder="1"/>
    <x:xf numFmtId="0" fontId="7" fillId="8" borderId="27" xfId="0" applyNumberFormat="1" applyFont="1" applyFill="1" applyBorder="1" applyAlignment="1">
      <x:alignment wrapText="1"/>
    </x:xf>
    <x:xf numFmtId="0" fontId="7" fillId="8" borderId="4" xfId="0" applyNumberFormat="1" applyFont="1" applyFill="1" applyBorder="1" applyAlignment="1">
      <x:alignment wrapText="1"/>
    </x:xf>
    <x:xf numFmtId="0" fontId="7" fillId="8" borderId="28" xfId="0" applyNumberFormat="1" applyFont="1" applyFill="1" applyBorder="1" applyAlignment="1">
      <x:alignment wrapText="1"/>
    </x:xf>
    <x:xf numFmtId="0" fontId="7" fillId="8" borderId="27" xfId="0" applyNumberFormat="1" applyFont="1" applyFill="1" applyBorder="1" applyAlignment="1">
      <x:alignment vertical="center" wrapText="1"/>
    </x:xf>
    <x:xf numFmtId="0" fontId="7" fillId="8" borderId="4" xfId="0" applyNumberFormat="1" applyFont="1" applyFill="1" applyBorder="1" applyAlignment="1">
      <x:alignment vertical="center" wrapText="1"/>
    </x:xf>
    <x:xf numFmtId="0" fontId="7" fillId="8" borderId="28" xfId="0" applyNumberFormat="1" applyFont="1" applyFill="1" applyBorder="1" applyAlignment="1">
      <x:alignment vertical="center" wrapText="1"/>
    </x:xf>
    <x:xf numFmtId="0" fontId="0" fillId="9" borderId="0" xfId="0" applyNumberFormat="1" applyFont="1" applyFill="1" applyBorder="1"/>
    <x:xf numFmtId="0" fontId="0" fillId="9" borderId="22" xfId="0" applyNumberFormat="1" applyFont="1" applyFill="1" applyBorder="1"/>
    <x:xf numFmtId="0" fontId="0" fillId="9" borderId="23" xfId="0" applyNumberFormat="1" applyFont="1" applyFill="1" applyBorder="1"/>
    <x:xf numFmtId="0" fontId="0" fillId="9" borderId="24" xfId="0" applyNumberFormat="1" applyFont="1" applyFill="1" applyBorder="1"/>
    <x:xf numFmtId="0" fontId="0" fillId="9" borderId="25" xfId="0" applyNumberFormat="1" applyFont="1" applyFill="1" applyBorder="1"/>
    <x:xf numFmtId="0" fontId="0" fillId="9" borderId="26" xfId="0" applyNumberFormat="1" applyFont="1" applyFill="1" applyBorder="1"/>
    <x:xf numFmtId="0" fontId="0" fillId="9" borderId="27" xfId="0" applyNumberFormat="1" applyFont="1" applyFill="1" applyBorder="1"/>
    <x:xf numFmtId="0" fontId="0" fillId="9" borderId="4" xfId="0" applyNumberFormat="1" applyFont="1" applyFill="1" applyBorder="1"/>
    <x:xf numFmtId="0" fontId="0" fillId="9" borderId="28" xfId="0" applyNumberFormat="1" applyFont="1" applyFill="1" applyBorder="1"/>
    <x:xf numFmtId="0" fontId="9" fillId="9" borderId="22" xfId="0" applyNumberFormat="1" applyFont="1" applyFill="1" applyBorder="1"/>
    <x:xf numFmtId="0" fontId="9" fillId="9" borderId="23" xfId="0" applyNumberFormat="1" applyFont="1" applyFill="1" applyBorder="1"/>
    <x:xf numFmtId="0" fontId="9" fillId="9" borderId="24" xfId="0" applyNumberFormat="1" applyFont="1" applyFill="1" applyBorder="1"/>
    <x:xf numFmtId="0" fontId="9" fillId="9" borderId="22" xfId="0" applyNumberFormat="1" applyFont="1" applyFill="1" applyBorder="1" applyAlignment="1">
      <x:alignment vertical="center"/>
    </x:xf>
    <x:xf numFmtId="0" fontId="9" fillId="9" borderId="23" xfId="0" applyNumberFormat="1" applyFont="1" applyFill="1" applyBorder="1" applyAlignment="1">
      <x:alignment vertical="center"/>
    </x:xf>
    <x:xf numFmtId="0" fontId="9" fillId="9" borderId="24" xfId="0" applyNumberFormat="1" applyFont="1" applyFill="1" applyBorder="1" applyAlignment="1">
      <x:alignment vertical="center"/>
    </x:xf>
    <x:xf numFmtId="0" fontId="10" fillId="9" borderId="25" xfId="0" applyNumberFormat="1" applyFont="1" applyFill="1" applyBorder="1"/>
    <x:xf numFmtId="0" fontId="10" fillId="9" borderId="0" xfId="0" applyNumberFormat="1" applyFont="1" applyFill="1" applyBorder="1"/>
    <x:xf numFmtId="0" fontId="10" fillId="9" borderId="26" xfId="0" applyNumberFormat="1" applyFont="1" applyFill="1" applyBorder="1"/>
    <x:xf numFmtId="0" fontId="10" fillId="9" borderId="25" xfId="0" applyNumberFormat="1" applyFont="1" applyFill="1" applyBorder="1" applyAlignment="1">
      <x:alignment vertical="center"/>
    </x:xf>
    <x:xf numFmtId="0" fontId="10" fillId="9" borderId="0" xfId="0" applyNumberFormat="1" applyFont="1" applyFill="1" applyBorder="1" applyAlignment="1">
      <x:alignment vertical="center"/>
    </x:xf>
    <x:xf numFmtId="0" fontId="10" fillId="9" borderId="26" xfId="0" applyNumberFormat="1" applyFont="1" applyFill="1" applyBorder="1" applyAlignment="1">
      <x:alignment vertical="center"/>
    </x:xf>
    <x:xf numFmtId="205" fontId="10" fillId="9" borderId="25" xfId="0" applyNumberFormat="1" applyFont="1" applyFill="1" applyBorder="1" applyAlignment="1">
      <x:alignment vertical="center"/>
    </x:xf>
    <x:xf numFmtId="205" fontId="10" fillId="9" borderId="0" xfId="0" applyNumberFormat="1" applyFont="1" applyFill="1" applyBorder="1" applyAlignment="1">
      <x:alignment vertical="center"/>
    </x:xf>
    <x:xf numFmtId="205" fontId="10" fillId="9" borderId="26" xfId="0" applyNumberFormat="1" applyFont="1" applyFill="1" applyBorder="1" applyAlignment="1">
      <x:alignment vertical="center"/>
    </x:xf>
    <x:xf numFmtId="0" fontId="7" fillId="9" borderId="27" xfId="0" applyNumberFormat="1" applyFont="1" applyFill="1" applyBorder="1"/>
    <x:xf numFmtId="0" fontId="7" fillId="9" borderId="4" xfId="0" applyNumberFormat="1" applyFont="1" applyFill="1" applyBorder="1"/>
    <x:xf numFmtId="0" fontId="7" fillId="9" borderId="28" xfId="0" applyNumberFormat="1" applyFont="1" applyFill="1" applyBorder="1"/>
    <x:xf numFmtId="0" fontId="7" fillId="9" borderId="27" xfId="0" applyNumberFormat="1" applyFont="1" applyFill="1" applyBorder="1" applyAlignment="1">
      <x:alignment wrapText="1"/>
    </x:xf>
    <x:xf numFmtId="0" fontId="7" fillId="9" borderId="4" xfId="0" applyNumberFormat="1" applyFont="1" applyFill="1" applyBorder="1" applyAlignment="1">
      <x:alignment wrapText="1"/>
    </x:xf>
    <x:xf numFmtId="0" fontId="7" fillId="9" borderId="28" xfId="0" applyNumberFormat="1" applyFont="1" applyFill="1" applyBorder="1" applyAlignment="1">
      <x:alignment wrapText="1"/>
    </x:xf>
    <x:xf numFmtId="0" fontId="7" fillId="9" borderId="27" xfId="0" applyNumberFormat="1" applyFont="1" applyFill="1" applyBorder="1" applyAlignment="1">
      <x:alignment vertical="center" wrapText="1"/>
    </x:xf>
    <x:xf numFmtId="0" fontId="7" fillId="9" borderId="4" xfId="0" applyNumberFormat="1" applyFont="1" applyFill="1" applyBorder="1" applyAlignment="1">
      <x:alignment vertical="center" wrapText="1"/>
    </x:xf>
    <x:xf numFmtId="0" fontId="7" fillId="9" borderId="28" xfId="0" applyNumberFormat="1" applyFont="1" applyFill="1" applyBorder="1" applyAlignment="1">
      <x:alignment vertical="center" wrapText="1"/>
    </x:xf>
    <x:xf numFmtId="0" fontId="0" fillId="10" borderId="0" xfId="0" applyNumberFormat="1" applyFont="1" applyFill="1" applyBorder="1"/>
    <x:xf numFmtId="0" fontId="0" fillId="10" borderId="22" xfId="0" applyNumberFormat="1" applyFont="1" applyFill="1" applyBorder="1"/>
    <x:xf numFmtId="0" fontId="0" fillId="10" borderId="23" xfId="0" applyNumberFormat="1" applyFont="1" applyFill="1" applyBorder="1"/>
    <x:xf numFmtId="0" fontId="0" fillId="10" borderId="24" xfId="0" applyNumberFormat="1" applyFont="1" applyFill="1" applyBorder="1"/>
    <x:xf numFmtId="0" fontId="0" fillId="10" borderId="25" xfId="0" applyNumberFormat="1" applyFont="1" applyFill="1" applyBorder="1"/>
    <x:xf numFmtId="0" fontId="0" fillId="10" borderId="26" xfId="0" applyNumberFormat="1" applyFont="1" applyFill="1" applyBorder="1"/>
    <x:xf numFmtId="0" fontId="0" fillId="10" borderId="27" xfId="0" applyNumberFormat="1" applyFont="1" applyFill="1" applyBorder="1"/>
    <x:xf numFmtId="0" fontId="0" fillId="10" borderId="4" xfId="0" applyNumberFormat="1" applyFont="1" applyFill="1" applyBorder="1"/>
    <x:xf numFmtId="0" fontId="0" fillId="10" borderId="28" xfId="0" applyNumberFormat="1" applyFont="1" applyFill="1" applyBorder="1"/>
    <x:xf numFmtId="0" fontId="9" fillId="10" borderId="22" xfId="0" applyNumberFormat="1" applyFont="1" applyFill="1" applyBorder="1"/>
    <x:xf numFmtId="0" fontId="9" fillId="10" borderId="23" xfId="0" applyNumberFormat="1" applyFont="1" applyFill="1" applyBorder="1"/>
    <x:xf numFmtId="0" fontId="9" fillId="10" borderId="24" xfId="0" applyNumberFormat="1" applyFont="1" applyFill="1" applyBorder="1"/>
    <x:xf numFmtId="0" fontId="9" fillId="10" borderId="22" xfId="0" applyNumberFormat="1" applyFont="1" applyFill="1" applyBorder="1" applyAlignment="1">
      <x:alignment vertical="center"/>
    </x:xf>
    <x:xf numFmtId="0" fontId="9" fillId="10" borderId="23" xfId="0" applyNumberFormat="1" applyFont="1" applyFill="1" applyBorder="1" applyAlignment="1">
      <x:alignment vertical="center"/>
    </x:xf>
    <x:xf numFmtId="0" fontId="9" fillId="10" borderId="24" xfId="0" applyNumberFormat="1" applyFont="1" applyFill="1" applyBorder="1" applyAlignment="1">
      <x:alignment vertical="center"/>
    </x:xf>
    <x:xf numFmtId="0" fontId="10" fillId="10" borderId="25" xfId="0" applyNumberFormat="1" applyFont="1" applyFill="1" applyBorder="1"/>
    <x:xf numFmtId="0" fontId="10" fillId="10" borderId="0" xfId="0" applyNumberFormat="1" applyFont="1" applyFill="1" applyBorder="1"/>
    <x:xf numFmtId="0" fontId="10" fillId="10" borderId="26" xfId="0" applyNumberFormat="1" applyFont="1" applyFill="1" applyBorder="1"/>
    <x:xf numFmtId="0" fontId="10" fillId="10" borderId="25" xfId="0" applyNumberFormat="1" applyFont="1" applyFill="1" applyBorder="1" applyAlignment="1">
      <x:alignment vertical="center"/>
    </x:xf>
    <x:xf numFmtId="0" fontId="10" fillId="10" borderId="0" xfId="0" applyNumberFormat="1" applyFont="1" applyFill="1" applyBorder="1" applyAlignment="1">
      <x:alignment vertical="center"/>
    </x:xf>
    <x:xf numFmtId="0" fontId="10" fillId="10" borderId="26" xfId="0" applyNumberFormat="1" applyFont="1" applyFill="1" applyBorder="1" applyAlignment="1">
      <x:alignment vertical="center"/>
    </x:xf>
    <x:xf numFmtId="205" fontId="10" fillId="10" borderId="25" xfId="0" applyNumberFormat="1" applyFont="1" applyFill="1" applyBorder="1" applyAlignment="1">
      <x:alignment vertical="center"/>
    </x:xf>
    <x:xf numFmtId="205" fontId="10" fillId="10" borderId="0" xfId="0" applyNumberFormat="1" applyFont="1" applyFill="1" applyBorder="1" applyAlignment="1">
      <x:alignment vertical="center"/>
    </x:xf>
    <x:xf numFmtId="205" fontId="10" fillId="10" borderId="26" xfId="0" applyNumberFormat="1" applyFont="1" applyFill="1" applyBorder="1" applyAlignment="1">
      <x:alignment vertical="center"/>
    </x:xf>
    <x:xf numFmtId="0" fontId="7" fillId="10" borderId="27" xfId="0" applyNumberFormat="1" applyFont="1" applyFill="1" applyBorder="1"/>
    <x:xf numFmtId="0" fontId="7" fillId="10" borderId="4" xfId="0" applyNumberFormat="1" applyFont="1" applyFill="1" applyBorder="1"/>
    <x:xf numFmtId="0" fontId="7" fillId="10" borderId="28" xfId="0" applyNumberFormat="1" applyFont="1" applyFill="1" applyBorder="1"/>
    <x:xf numFmtId="0" fontId="7" fillId="10" borderId="27" xfId="0" applyNumberFormat="1" applyFont="1" applyFill="1" applyBorder="1" applyAlignment="1">
      <x:alignment wrapText="1"/>
    </x:xf>
    <x:xf numFmtId="0" fontId="7" fillId="10" borderId="4" xfId="0" applyNumberFormat="1" applyFont="1" applyFill="1" applyBorder="1" applyAlignment="1">
      <x:alignment wrapText="1"/>
    </x:xf>
    <x:xf numFmtId="0" fontId="7" fillId="10" borderId="28" xfId="0" applyNumberFormat="1" applyFont="1" applyFill="1" applyBorder="1" applyAlignment="1">
      <x:alignment wrapText="1"/>
    </x:xf>
    <x:xf numFmtId="0" fontId="7" fillId="10" borderId="27" xfId="0" applyNumberFormat="1" applyFont="1" applyFill="1" applyBorder="1" applyAlignment="1">
      <x:alignment vertical="center" wrapText="1"/>
    </x:xf>
    <x:xf numFmtId="0" fontId="7" fillId="10" borderId="4" xfId="0" applyNumberFormat="1" applyFont="1" applyFill="1" applyBorder="1" applyAlignment="1">
      <x:alignment vertical="center" wrapText="1"/>
    </x:xf>
    <x:xf numFmtId="0" fontId="7" fillId="10" borderId="28" xfId="0" applyNumberFormat="1" applyFont="1" applyFill="1" applyBorder="1" applyAlignment="1">
      <x:alignment vertical="center" wrapText="1"/>
    </x:xf>
    <x:xf numFmtId="201" fontId="6" fillId="5" borderId="0" xfId="0" applyNumberFormat="1" applyFont="1" applyFill="1" applyBorder="1"/>
    <x:xf numFmtId="0" fontId="5" fillId="4" borderId="0" xfId="0" applyNumberFormat="1" applyFont="1" applyFill="1" applyBorder="1"/>
    <x:xf numFmtId="0" fontId="5" fillId="4" borderId="29" xfId="0" applyNumberFormat="1" applyFont="1" applyFill="1" applyBorder="1"/>
    <x:xf numFmtId="0" fontId="5" fillId="4" borderId="30" xfId="0" applyNumberFormat="1" applyFont="1" applyFill="1" applyBorder="1"/>
    <x:xf numFmtId="0" fontId="5" fillId="4" borderId="31" xfId="0" applyNumberFormat="1" applyFont="1" applyFill="1" applyBorder="1"/>
    <x:xf numFmtId="0" fontId="5" fillId="4" borderId="32" xfId="0" applyNumberFormat="1" applyFont="1" applyFill="1" applyBorder="1"/>
    <x:xf numFmtId="0" fontId="5" fillId="4" borderId="33" xfId="0" applyNumberFormat="1" applyFont="1" applyFill="1" applyBorder="1"/>
    <x:xf numFmtId="0" fontId="5" fillId="4" borderId="34" xfId="0" applyNumberFormat="1" applyFont="1" applyFill="1" applyBorder="1"/>
    <x:xf numFmtId="0" fontId="5" fillId="4" borderId="35" xfId="0" applyNumberFormat="1" applyFont="1" applyFill="1" applyBorder="1"/>
    <x:xf numFmtId="0" fontId="5" fillId="4" borderId="36" xfId="0" applyNumberFormat="1" applyFont="1" applyFill="1" applyBorder="1"/>
    <x:xf numFmtId="0" fontId="5" fillId="4" borderId="29" xfId="0" applyNumberFormat="1" applyFont="1" applyFill="1" applyBorder="1" applyAlignment="1">
      <x:alignment wrapText="1"/>
    </x:xf>
    <x:xf numFmtId="0" fontId="5" fillId="4" borderId="30" xfId="0" applyNumberFormat="1" applyFont="1" applyFill="1" applyBorder="1" applyAlignment="1">
      <x:alignment wrapText="1"/>
    </x:xf>
    <x:xf numFmtId="0" fontId="5" fillId="4" borderId="31" xfId="0" applyNumberFormat="1" applyFont="1" applyFill="1" applyBorder="1" applyAlignment="1">
      <x:alignment wrapText="1"/>
    </x:xf>
    <x:xf numFmtId="0" fontId="5" fillId="4" borderId="32" xfId="0" applyNumberFormat="1" applyFont="1" applyFill="1" applyBorder="1" applyAlignment="1">
      <x:alignment wrapText="1"/>
    </x:xf>
    <x:xf numFmtId="0" fontId="5" fillId="4" borderId="0" xfId="0" applyNumberFormat="1" applyFont="1" applyFill="1" applyBorder="1" applyAlignment="1">
      <x:alignment wrapText="1"/>
    </x:xf>
    <x:xf numFmtId="0" fontId="5" fillId="4" borderId="33" xfId="0" applyNumberFormat="1" applyFont="1" applyFill="1" applyBorder="1" applyAlignment="1">
      <x:alignment wrapText="1"/>
    </x:xf>
    <x:xf numFmtId="0" fontId="5" fillId="4" borderId="34" xfId="0" applyNumberFormat="1" applyFont="1" applyFill="1" applyBorder="1" applyAlignment="1">
      <x:alignment wrapText="1"/>
    </x:xf>
    <x:xf numFmtId="0" fontId="5" fillId="4" borderId="35" xfId="0" applyNumberFormat="1" applyFont="1" applyFill="1" applyBorder="1" applyAlignment="1">
      <x:alignment wrapText="1"/>
    </x:xf>
    <x:xf numFmtId="0" fontId="5" fillId="4" borderId="36" xfId="0" applyNumberFormat="1" applyFont="1" applyFill="1" applyBorder="1" applyAlignment="1">
      <x:alignment wrapText="1"/>
    </x:xf>
    <x:xf numFmtId="0" fontId="5" fillId="4" borderId="29" xfId="0" applyNumberFormat="1" applyFont="1" applyFill="1" applyBorder="1" applyAlignment="1">
      <x:alignment vertical="top" wrapText="1"/>
    </x:xf>
    <x:xf numFmtId="0" fontId="5" fillId="4" borderId="30" xfId="0" applyNumberFormat="1" applyFont="1" applyFill="1" applyBorder="1" applyAlignment="1">
      <x:alignment vertical="top" wrapText="1"/>
    </x:xf>
    <x:xf numFmtId="0" fontId="5" fillId="4" borderId="31" xfId="0" applyNumberFormat="1" applyFont="1" applyFill="1" applyBorder="1" applyAlignment="1">
      <x:alignment vertical="top" wrapText="1"/>
    </x:xf>
    <x:xf numFmtId="0" fontId="5" fillId="4" borderId="32"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5" fillId="4" borderId="33" xfId="0" applyNumberFormat="1" applyFont="1" applyFill="1" applyBorder="1" applyAlignment="1">
      <x:alignment vertical="top" wrapText="1"/>
    </x:xf>
    <x:xf numFmtId="0" fontId="5" fillId="4" borderId="34" xfId="0" applyNumberFormat="1" applyFont="1" applyFill="1" applyBorder="1" applyAlignment="1">
      <x:alignment vertical="top" wrapText="1"/>
    </x:xf>
    <x:xf numFmtId="0" fontId="5" fillId="4" borderId="35" xfId="0" applyNumberFormat="1" applyFont="1" applyFill="1" applyBorder="1" applyAlignment="1">
      <x:alignment vertical="top" wrapText="1"/>
    </x:xf>
    <x:xf numFmtId="0" fontId="5" fillId="4" borderId="36" xfId="0" applyNumberFormat="1" applyFont="1" applyFill="1" applyBorder="1" applyAlignment="1">
      <x:alignment vertical="top" wrapText="1"/>
    </x:xf>
    <x:xf numFmtId="0" fontId="5" fillId="9" borderId="0" xfId="0" applyNumberFormat="1" applyFont="1" applyFill="1" applyBorder="1"/>
    <x:xf numFmtId="0" fontId="5" fillId="9" borderId="37" xfId="0" applyNumberFormat="1" applyFont="1" applyFill="1" applyBorder="1"/>
    <x:xf numFmtId="0" fontId="5" fillId="9" borderId="38" xfId="0" applyNumberFormat="1" applyFont="1" applyFill="1" applyBorder="1"/>
    <x:xf numFmtId="0" fontId="5" fillId="9" borderId="39" xfId="0" applyNumberFormat="1" applyFont="1" applyFill="1" applyBorder="1"/>
    <x:xf numFmtId="0" fontId="5" fillId="9" borderId="40" xfId="0" applyNumberFormat="1" applyFont="1" applyFill="1" applyBorder="1"/>
    <x:xf numFmtId="0" fontId="5" fillId="9" borderId="41" xfId="0" applyNumberFormat="1" applyFont="1" applyFill="1" applyBorder="1"/>
    <x:xf numFmtId="0" fontId="5" fillId="9" borderId="42" xfId="0" applyNumberFormat="1" applyFont="1" applyFill="1" applyBorder="1"/>
    <x:xf numFmtId="0" fontId="5" fillId="9" borderId="43" xfId="0" applyNumberFormat="1" applyFont="1" applyFill="1" applyBorder="1"/>
    <x:xf numFmtId="0" fontId="5" fillId="9" borderId="44" xfId="0" applyNumberFormat="1" applyFont="1" applyFill="1" applyBorder="1"/>
    <x:xf numFmtId="0" fontId="5" fillId="9" borderId="37" xfId="0" applyNumberFormat="1" applyFont="1" applyFill="1" applyBorder="1" applyAlignment="1">
      <x:alignment wrapText="1"/>
    </x:xf>
    <x:xf numFmtId="0" fontId="5" fillId="9" borderId="38" xfId="0" applyNumberFormat="1" applyFont="1" applyFill="1" applyBorder="1" applyAlignment="1">
      <x:alignment wrapText="1"/>
    </x:xf>
    <x:xf numFmtId="0" fontId="5" fillId="9" borderId="39" xfId="0" applyNumberFormat="1" applyFont="1" applyFill="1" applyBorder="1" applyAlignment="1">
      <x:alignment wrapText="1"/>
    </x:xf>
    <x:xf numFmtId="0" fontId="5" fillId="9" borderId="40" xfId="0" applyNumberFormat="1" applyFont="1" applyFill="1" applyBorder="1" applyAlignment="1">
      <x:alignment wrapText="1"/>
    </x:xf>
    <x:xf numFmtId="0" fontId="5" fillId="9" borderId="0" xfId="0" applyNumberFormat="1" applyFont="1" applyFill="1" applyBorder="1" applyAlignment="1">
      <x:alignment wrapText="1"/>
    </x:xf>
    <x:xf numFmtId="0" fontId="5" fillId="9" borderId="41" xfId="0" applyNumberFormat="1" applyFont="1" applyFill="1" applyBorder="1" applyAlignment="1">
      <x:alignment wrapText="1"/>
    </x:xf>
    <x:xf numFmtId="0" fontId="5" fillId="9" borderId="42" xfId="0" applyNumberFormat="1" applyFont="1" applyFill="1" applyBorder="1" applyAlignment="1">
      <x:alignment wrapText="1"/>
    </x:xf>
    <x:xf numFmtId="0" fontId="5" fillId="9" borderId="43" xfId="0" applyNumberFormat="1" applyFont="1" applyFill="1" applyBorder="1" applyAlignment="1">
      <x:alignment wrapText="1"/>
    </x:xf>
    <x:xf numFmtId="0" fontId="5" fillId="9" borderId="44" xfId="0" applyNumberFormat="1" applyFont="1" applyFill="1" applyBorder="1" applyAlignment="1">
      <x:alignment wrapText="1"/>
    </x:xf>
    <x:xf numFmtId="0" fontId="5" fillId="9" borderId="37" xfId="0" applyNumberFormat="1" applyFont="1" applyFill="1" applyBorder="1" applyAlignment="1">
      <x:alignment vertical="top" wrapText="1"/>
    </x:xf>
    <x:xf numFmtId="0" fontId="5" fillId="9" borderId="38" xfId="0" applyNumberFormat="1" applyFont="1" applyFill="1" applyBorder="1" applyAlignment="1">
      <x:alignment vertical="top" wrapText="1"/>
    </x:xf>
    <x:xf numFmtId="0" fontId="5" fillId="9" borderId="39" xfId="0" applyNumberFormat="1" applyFont="1" applyFill="1" applyBorder="1" applyAlignment="1">
      <x:alignment vertical="top" wrapText="1"/>
    </x:xf>
    <x:xf numFmtId="0" fontId="5" fillId="9" borderId="40" xfId="0" applyNumberFormat="1" applyFont="1" applyFill="1" applyBorder="1" applyAlignment="1">
      <x:alignment vertical="top" wrapText="1"/>
    </x:xf>
    <x:xf numFmtId="0" fontId="5" fillId="9" borderId="0" xfId="0" applyNumberFormat="1" applyFont="1" applyFill="1" applyBorder="1" applyAlignment="1">
      <x:alignment vertical="top" wrapText="1"/>
    </x:xf>
    <x:xf numFmtId="0" fontId="5" fillId="9" borderId="41" xfId="0" applyNumberFormat="1" applyFont="1" applyFill="1" applyBorder="1" applyAlignment="1">
      <x:alignment vertical="top" wrapText="1"/>
    </x:xf>
    <x:xf numFmtId="0" fontId="5" fillId="9" borderId="42" xfId="0" applyNumberFormat="1" applyFont="1" applyFill="1" applyBorder="1" applyAlignment="1">
      <x:alignment vertical="top" wrapText="1"/>
    </x:xf>
    <x:xf numFmtId="0" fontId="5" fillId="9" borderId="43" xfId="0" applyNumberFormat="1" applyFont="1" applyFill="1" applyBorder="1" applyAlignment="1">
      <x:alignment vertical="top" wrapText="1"/>
    </x:xf>
    <x:xf numFmtId="0" fontId="5" fillId="9" borderId="44" xfId="0" applyNumberFormat="1" applyFont="1" applyFill="1" applyBorder="1" applyAlignment="1">
      <x:alignment vertical="top" wrapText="1"/>
    </x:xf>
    <x:xf numFmtId="0" fontId="0" fillId="4" borderId="22" xfId="0" applyNumberFormat="1" applyFont="1" applyFill="1" applyBorder="1"/>
    <x:xf numFmtId="0" fontId="0" fillId="4" borderId="23" xfId="0" applyNumberFormat="1" applyFont="1" applyFill="1" applyBorder="1"/>
    <x:xf numFmtId="0" fontId="0" fillId="4" borderId="24" xfId="0" applyNumberFormat="1" applyFont="1" applyFill="1" applyBorder="1"/>
    <x:xf numFmtId="0" fontId="0" fillId="4" borderId="25" xfId="0" applyNumberFormat="1" applyFont="1" applyFill="1" applyBorder="1"/>
    <x:xf numFmtId="0" fontId="0" fillId="4" borderId="26" xfId="0" applyNumberFormat="1" applyFont="1" applyFill="1" applyBorder="1"/>
    <x:xf numFmtId="0" fontId="0" fillId="4" borderId="27" xfId="0" applyNumberFormat="1" applyFont="1" applyFill="1" applyBorder="1"/>
    <x:xf numFmtId="0" fontId="0" fillId="4" borderId="4" xfId="0" applyNumberFormat="1" applyFont="1" applyFill="1" applyBorder="1"/>
    <x:xf numFmtId="0" fontId="0" fillId="4" borderId="28" xfId="0" applyNumberFormat="1" applyFont="1" applyFill="1" applyBorder="1"/>
    <x:xf numFmtId="0" fontId="9" fillId="4" borderId="22" xfId="0" applyNumberFormat="1" applyFont="1" applyFill="1" applyBorder="1"/>
    <x:xf numFmtId="0" fontId="9" fillId="4" borderId="23" xfId="0" applyNumberFormat="1" applyFont="1" applyFill="1" applyBorder="1"/>
    <x:xf numFmtId="0" fontId="9" fillId="4" borderId="24" xfId="0" applyNumberFormat="1" applyFont="1" applyFill="1" applyBorder="1"/>
    <x:xf numFmtId="0" fontId="9" fillId="4" borderId="22" xfId="0" applyNumberFormat="1" applyFont="1" applyFill="1" applyBorder="1" applyAlignment="1">
      <x:alignment vertical="center"/>
    </x:xf>
    <x:xf numFmtId="0" fontId="9" fillId="4" borderId="23" xfId="0" applyNumberFormat="1" applyFont="1" applyFill="1" applyBorder="1" applyAlignment="1">
      <x:alignment vertical="center"/>
    </x:xf>
    <x:xf numFmtId="0" fontId="9" fillId="4" borderId="24" xfId="0" applyNumberFormat="1" applyFont="1" applyFill="1" applyBorder="1" applyAlignment="1">
      <x:alignment vertical="center"/>
    </x:xf>
    <x:xf numFmtId="0" fontId="10" fillId="4" borderId="25" xfId="0" applyNumberFormat="1" applyFont="1" applyFill="1" applyBorder="1"/>
    <x:xf numFmtId="0" fontId="10" fillId="4" borderId="0" xfId="0" applyNumberFormat="1" applyFont="1" applyFill="1" applyBorder="1"/>
    <x:xf numFmtId="0" fontId="10" fillId="4" borderId="26" xfId="0" applyNumberFormat="1" applyFont="1" applyFill="1" applyBorder="1"/>
    <x:xf numFmtId="0" fontId="10" fillId="4" borderId="25" xfId="0" applyNumberFormat="1" applyFont="1" applyFill="1" applyBorder="1" applyAlignment="1">
      <x:alignment vertical="center"/>
    </x:xf>
    <x:xf numFmtId="0" fontId="10" fillId="4" borderId="0" xfId="0" applyNumberFormat="1" applyFont="1" applyFill="1" applyBorder="1" applyAlignment="1">
      <x:alignment vertical="center"/>
    </x:xf>
    <x:xf numFmtId="0" fontId="10" fillId="4" borderId="26" xfId="0" applyNumberFormat="1" applyFont="1" applyFill="1" applyBorder="1" applyAlignment="1">
      <x:alignment vertical="center"/>
    </x:xf>
    <x:xf numFmtId="202" fontId="10" fillId="4" borderId="25" xfId="0" applyNumberFormat="1" applyFont="1" applyFill="1" applyBorder="1" applyAlignment="1">
      <x:alignment vertical="center"/>
    </x:xf>
    <x:xf numFmtId="202" fontId="10" fillId="4" borderId="0" xfId="0" applyNumberFormat="1" applyFont="1" applyFill="1" applyBorder="1" applyAlignment="1">
      <x:alignment vertical="center"/>
    </x:xf>
    <x:xf numFmtId="202" fontId="10" fillId="4" borderId="26" xfId="0" applyNumberFormat="1" applyFont="1" applyFill="1" applyBorder="1" applyAlignment="1">
      <x:alignment vertical="center"/>
    </x:xf>
    <x:xf numFmtId="0" fontId="7" fillId="4" borderId="27" xfId="0" applyNumberFormat="1" applyFont="1" applyFill="1" applyBorder="1"/>
    <x:xf numFmtId="0" fontId="7" fillId="4" borderId="4" xfId="0" applyNumberFormat="1" applyFont="1" applyFill="1" applyBorder="1"/>
    <x:xf numFmtId="0" fontId="7" fillId="4" borderId="28" xfId="0" applyNumberFormat="1" applyFont="1" applyFill="1" applyBorder="1"/>
    <x:xf numFmtId="0" fontId="7" fillId="4" borderId="27" xfId="0" applyNumberFormat="1" applyFont="1" applyFill="1" applyBorder="1" applyAlignment="1">
      <x:alignment wrapText="1"/>
    </x:xf>
    <x:xf numFmtId="0" fontId="7" fillId="4" borderId="4" xfId="0" applyNumberFormat="1" applyFont="1" applyFill="1" applyBorder="1" applyAlignment="1">
      <x:alignment wrapText="1"/>
    </x:xf>
    <x:xf numFmtId="0" fontId="7" fillId="4" borderId="28" xfId="0" applyNumberFormat="1" applyFont="1" applyFill="1" applyBorder="1" applyAlignment="1">
      <x:alignment wrapText="1"/>
    </x:xf>
    <x:xf numFmtId="0" fontId="7" fillId="4" borderId="27" xfId="0" applyNumberFormat="1" applyFont="1" applyFill="1" applyBorder="1" applyAlignment="1">
      <x:alignment vertical="center" wrapText="1"/>
    </x:xf>
    <x:xf numFmtId="0" fontId="7" fillId="4" borderId="4" xfId="0" applyNumberFormat="1" applyFont="1" applyFill="1" applyBorder="1" applyAlignment="1">
      <x:alignment vertical="center" wrapText="1"/>
    </x:xf>
    <x:xf numFmtId="0" fontId="7" fillId="4" borderId="28" xfId="0" applyNumberFormat="1" applyFont="1" applyFill="1" applyBorder="1" applyAlignment="1">
      <x:alignment vertical="center" wrapText="1"/>
    </x:xf>
    <x:xf numFmtId="202" fontId="10" fillId="10" borderId="25" xfId="0" applyNumberFormat="1" applyFont="1" applyFill="1" applyBorder="1" applyAlignment="1">
      <x:alignment vertical="center"/>
    </x:xf>
    <x:xf numFmtId="202" fontId="10" fillId="10" borderId="0" xfId="0" applyNumberFormat="1" applyFont="1" applyFill="1" applyBorder="1" applyAlignment="1">
      <x:alignment vertical="center"/>
    </x:xf>
    <x:xf numFmtId="202" fontId="10" fillId="10" borderId="26" xfId="0" applyNumberFormat="1" applyFont="1" applyFill="1" applyBorder="1" applyAlignment="1">
      <x:alignment vertical="center"/>
    </x:xf>
    <x:xf numFmtId="0" fontId="0" fillId="7" borderId="22" xfId="0" applyNumberFormat="1" applyFont="1" applyFill="1" applyBorder="1"/>
    <x:xf numFmtId="0" fontId="0" fillId="7" borderId="23" xfId="0" applyNumberFormat="1" applyFont="1" applyFill="1" applyBorder="1"/>
    <x:xf numFmtId="0" fontId="0" fillId="7" borderId="24" xfId="0" applyNumberFormat="1" applyFont="1" applyFill="1" applyBorder="1"/>
    <x:xf numFmtId="0" fontId="0" fillId="7" borderId="25" xfId="0" applyNumberFormat="1" applyFont="1" applyFill="1" applyBorder="1"/>
    <x:xf numFmtId="0" fontId="0" fillId="7" borderId="26" xfId="0" applyNumberFormat="1" applyFont="1" applyFill="1" applyBorder="1"/>
    <x:xf numFmtId="0" fontId="0" fillId="7" borderId="27" xfId="0" applyNumberFormat="1" applyFont="1" applyFill="1" applyBorder="1"/>
    <x:xf numFmtId="0" fontId="0" fillId="7" borderId="4" xfId="0" applyNumberFormat="1" applyFont="1" applyFill="1" applyBorder="1"/>
    <x:xf numFmtId="0" fontId="0" fillId="7" borderId="28" xfId="0" applyNumberFormat="1" applyFont="1" applyFill="1" applyBorder="1"/>
    <x:xf numFmtId="0" fontId="9" fillId="7" borderId="22" xfId="0" applyNumberFormat="1" applyFont="1" applyFill="1" applyBorder="1"/>
    <x:xf numFmtId="0" fontId="9" fillId="7" borderId="23" xfId="0" applyNumberFormat="1" applyFont="1" applyFill="1" applyBorder="1"/>
    <x:xf numFmtId="0" fontId="9" fillId="7" borderId="24" xfId="0" applyNumberFormat="1" applyFont="1" applyFill="1" applyBorder="1"/>
    <x:xf numFmtId="0" fontId="9" fillId="7" borderId="22" xfId="0" applyNumberFormat="1" applyFont="1" applyFill="1" applyBorder="1" applyAlignment="1">
      <x:alignment vertical="center"/>
    </x:xf>
    <x:xf numFmtId="0" fontId="9" fillId="7" borderId="23" xfId="0" applyNumberFormat="1" applyFont="1" applyFill="1" applyBorder="1" applyAlignment="1">
      <x:alignment vertical="center"/>
    </x:xf>
    <x:xf numFmtId="0" fontId="9" fillId="7" borderId="24" xfId="0" applyNumberFormat="1" applyFont="1" applyFill="1" applyBorder="1" applyAlignment="1">
      <x:alignment vertical="center"/>
    </x:xf>
    <x:xf numFmtId="0" fontId="10" fillId="7" borderId="25" xfId="0" applyNumberFormat="1" applyFont="1" applyFill="1" applyBorder="1"/>
    <x:xf numFmtId="0" fontId="10" fillId="7" borderId="0" xfId="0" applyNumberFormat="1" applyFont="1" applyFill="1" applyBorder="1"/>
    <x:xf numFmtId="0" fontId="10" fillId="7" borderId="26" xfId="0" applyNumberFormat="1" applyFont="1" applyFill="1" applyBorder="1"/>
    <x:xf numFmtId="0" fontId="10" fillId="7" borderId="25" xfId="0" applyNumberFormat="1" applyFont="1" applyFill="1" applyBorder="1" applyAlignment="1">
      <x:alignment vertical="center"/>
    </x:xf>
    <x:xf numFmtId="0" fontId="10" fillId="7" borderId="0" xfId="0" applyNumberFormat="1" applyFont="1" applyFill="1" applyBorder="1" applyAlignment="1">
      <x:alignment vertical="center"/>
    </x:xf>
    <x:xf numFmtId="0" fontId="10" fillId="7" borderId="26" xfId="0" applyNumberFormat="1" applyFont="1" applyFill="1" applyBorder="1" applyAlignment="1">
      <x:alignment vertical="center"/>
    </x:xf>
    <x:xf numFmtId="202" fontId="10" fillId="7" borderId="25" xfId="0" applyNumberFormat="1" applyFont="1" applyFill="1" applyBorder="1" applyAlignment="1">
      <x:alignment vertical="center"/>
    </x:xf>
    <x:xf numFmtId="202" fontId="10" fillId="7" borderId="0" xfId="0" applyNumberFormat="1" applyFont="1" applyFill="1" applyBorder="1" applyAlignment="1">
      <x:alignment vertical="center"/>
    </x:xf>
    <x:xf numFmtId="202" fontId="10" fillId="7" borderId="26" xfId="0" applyNumberFormat="1" applyFont="1" applyFill="1" applyBorder="1" applyAlignment="1">
      <x:alignment vertical="center"/>
    </x:xf>
    <x:xf numFmtId="0" fontId="7" fillId="7" borderId="27" xfId="0" applyNumberFormat="1" applyFont="1" applyFill="1" applyBorder="1"/>
    <x:xf numFmtId="0" fontId="7" fillId="7" borderId="4" xfId="0" applyNumberFormat="1" applyFont="1" applyFill="1" applyBorder="1"/>
    <x:xf numFmtId="0" fontId="7" fillId="7" borderId="28" xfId="0" applyNumberFormat="1" applyFont="1" applyFill="1" applyBorder="1"/>
    <x:xf numFmtId="0" fontId="7" fillId="7" borderId="27" xfId="0" applyNumberFormat="1" applyFont="1" applyFill="1" applyBorder="1" applyAlignment="1">
      <x:alignment wrapText="1"/>
    </x:xf>
    <x:xf numFmtId="0" fontId="7" fillId="7" borderId="4" xfId="0" applyNumberFormat="1" applyFont="1" applyFill="1" applyBorder="1" applyAlignment="1">
      <x:alignment wrapText="1"/>
    </x:xf>
    <x:xf numFmtId="0" fontId="7" fillId="7" borderId="28" xfId="0" applyNumberFormat="1" applyFont="1" applyFill="1" applyBorder="1" applyAlignment="1">
      <x:alignment wrapText="1"/>
    </x:xf>
    <x:xf numFmtId="0" fontId="7" fillId="7" borderId="27" xfId="0" applyNumberFormat="1" applyFont="1" applyFill="1" applyBorder="1" applyAlignment="1">
      <x:alignment vertical="center" wrapText="1"/>
    </x:xf>
    <x:xf numFmtId="0" fontId="7" fillId="7" borderId="4" xfId="0" applyNumberFormat="1" applyFont="1" applyFill="1" applyBorder="1" applyAlignment="1">
      <x:alignment vertical="center" wrapText="1"/>
    </x:xf>
    <x:xf numFmtId="0" fontId="7" fillId="7" borderId="28" xfId="0" applyNumberFormat="1" applyFont="1" applyFill="1" applyBorder="1" applyAlignment="1">
      <x:alignment vertical="center" wrapText="1"/>
    </x:xf>
    <x:xf numFmtId="0" fontId="11" fillId="3" borderId="0" xfId="0" applyNumberFormat="1" applyFont="1" applyFill="1" applyBorder="1"/>
    <x:xf numFmtId="0" fontId="11" fillId="3" borderId="22" xfId="0" applyNumberFormat="1" applyFont="1" applyFill="1" applyBorder="1"/>
    <x:xf numFmtId="0" fontId="11" fillId="3" borderId="23" xfId="0" applyNumberFormat="1" applyFont="1" applyFill="1" applyBorder="1"/>
    <x:xf numFmtId="0" fontId="11" fillId="3" borderId="24" xfId="0" applyNumberFormat="1" applyFont="1" applyFill="1" applyBorder="1"/>
    <x:xf numFmtId="0" fontId="11" fillId="3" borderId="25" xfId="0" applyNumberFormat="1" applyFont="1" applyFill="1" applyBorder="1"/>
    <x:xf numFmtId="0" fontId="11" fillId="3" borderId="26" xfId="0" applyNumberFormat="1" applyFont="1" applyFill="1" applyBorder="1"/>
    <x:xf numFmtId="0" fontId="11" fillId="3" borderId="27" xfId="0" applyNumberFormat="1" applyFont="1" applyFill="1" applyBorder="1"/>
    <x:xf numFmtId="0" fontId="11" fillId="3" borderId="4" xfId="0" applyNumberFormat="1" applyFont="1" applyFill="1" applyBorder="1"/>
    <x:xf numFmtId="0" fontId="11" fillId="3" borderId="28" xfId="0" applyNumberFormat="1" applyFont="1" applyFill="1" applyBorder="1"/>
    <x:xf numFmtId="0" fontId="11" fillId="3" borderId="22" xfId="0" applyNumberFormat="1" applyFont="1" applyFill="1" applyBorder="1" applyAlignment="1">
      <x:alignment wrapText="1"/>
    </x:xf>
    <x:xf numFmtId="0" fontId="11" fillId="3" borderId="23" xfId="0" applyNumberFormat="1" applyFont="1" applyFill="1" applyBorder="1" applyAlignment="1">
      <x:alignment wrapText="1"/>
    </x:xf>
    <x:xf numFmtId="0" fontId="11" fillId="3" borderId="24" xfId="0" applyNumberFormat="1" applyFont="1" applyFill="1" applyBorder="1" applyAlignment="1">
      <x:alignment wrapText="1"/>
    </x:xf>
    <x:xf numFmtId="0" fontId="11" fillId="3" borderId="25" xfId="0" applyNumberFormat="1" applyFont="1" applyFill="1" applyBorder="1" applyAlignment="1">
      <x:alignment wrapText="1"/>
    </x:xf>
    <x:xf numFmtId="0" fontId="11" fillId="3" borderId="0" xfId="0" applyNumberFormat="1" applyFont="1" applyFill="1" applyBorder="1" applyAlignment="1">
      <x:alignment wrapText="1"/>
    </x:xf>
    <x:xf numFmtId="0" fontId="11" fillId="3" borderId="26" xfId="0" applyNumberFormat="1" applyFont="1" applyFill="1" applyBorder="1" applyAlignment="1">
      <x:alignment wrapText="1"/>
    </x:xf>
    <x:xf numFmtId="0" fontId="11" fillId="3" borderId="27" xfId="0" applyNumberFormat="1" applyFont="1" applyFill="1" applyBorder="1" applyAlignment="1">
      <x:alignment wrapText="1"/>
    </x:xf>
    <x:xf numFmtId="0" fontId="11" fillId="3" borderId="4" xfId="0" applyNumberFormat="1" applyFont="1" applyFill="1" applyBorder="1" applyAlignment="1">
      <x:alignment wrapText="1"/>
    </x:xf>
    <x:xf numFmtId="0" fontId="11" fillId="3" borderId="28" xfId="0" applyNumberFormat="1" applyFont="1" applyFill="1" applyBorder="1" applyAlignment="1">
      <x:alignment wrapText="1"/>
    </x:xf>
    <x:xf numFmtId="0" fontId="11" fillId="3" borderId="22" xfId="0" applyNumberFormat="1" applyFont="1" applyFill="1" applyBorder="1" applyAlignment="1">
      <x:alignment vertical="top" wrapText="1"/>
    </x:xf>
    <x:xf numFmtId="0" fontId="11" fillId="3" borderId="23" xfId="0" applyNumberFormat="1" applyFont="1" applyFill="1" applyBorder="1" applyAlignment="1">
      <x:alignment vertical="top" wrapText="1"/>
    </x:xf>
    <x:xf numFmtId="0" fontId="11" fillId="3" borderId="24" xfId="0" applyNumberFormat="1" applyFont="1" applyFill="1" applyBorder="1" applyAlignment="1">
      <x:alignment vertical="top" wrapText="1"/>
    </x:xf>
    <x:xf numFmtId="0" fontId="11" fillId="3" borderId="25" xfId="0" applyNumberFormat="1" applyFont="1" applyFill="1" applyBorder="1" applyAlignment="1">
      <x:alignment vertical="top" wrapText="1"/>
    </x:xf>
    <x:xf numFmtId="0" fontId="11" fillId="3" borderId="0" xfId="0" applyNumberFormat="1" applyFont="1" applyFill="1" applyBorder="1" applyAlignment="1">
      <x:alignment vertical="top" wrapText="1"/>
    </x:xf>
    <x:xf numFmtId="0" fontId="11" fillId="3" borderId="26" xfId="0" applyNumberFormat="1" applyFont="1" applyFill="1" applyBorder="1" applyAlignment="1">
      <x:alignment vertical="top" wrapText="1"/>
    </x:xf>
    <x:xf numFmtId="0" fontId="11" fillId="3" borderId="27" xfId="0" applyNumberFormat="1" applyFont="1" applyFill="1" applyBorder="1" applyAlignment="1">
      <x:alignment vertical="top" wrapText="1"/>
    </x:xf>
    <x:xf numFmtId="0" fontId="11" fillId="3" borderId="4" xfId="0" applyNumberFormat="1" applyFont="1" applyFill="1" applyBorder="1" applyAlignment="1">
      <x:alignment vertical="top" wrapText="1"/>
    </x:xf>
    <x:xf numFmtId="0" fontId="11" fillId="3" borderId="28" xfId="0" applyNumberFormat="1" applyFont="1" applyFill="1" applyBorder="1" applyAlignment="1">
      <x:alignment vertical="top" wrapText="1"/>
    </x:xf>
  </x:cellXfs>
  <x:cellStyles count="1">
    <x:cellStyle name="Normal" xfId="0"/>
  </x:cellStyles>
  <x:dxfs count="4">
    <x:dxf>
      <x:font>
        <x:b/>
        <x:color rgb="FF15803D"/>
      </x:font>
      <x:fill>
        <x:patternFill patternType="solid">
          <x:bgColor rgb="FFEAF7EE"/>
        </x:patternFill>
      </x:fill>
    </x:dxf>
    <x:dxf>
      <x:font>
        <x:b/>
        <x:color rgb="FF15803D"/>
      </x:font>
      <x:fill>
        <x:patternFill patternType="solid">
          <x:bgColor rgb="FFEAF7EE"/>
        </x:patternFill>
      </x:fill>
    </x:dxf>
    <x:dxf>
      <x:font>
        <x:b/>
        <x:color rgb="FF15803D"/>
      </x:font>
      <x:fill>
        <x:patternFill patternType="solid">
          <x:bgColor rgb="FFEAF7EE"/>
        </x:patternFill>
      </x:fill>
    </x:dxf>
    <x:dxf>
      <x:font>
        <x:color rgb="FF2563EB"/>
      </x:font>
      <x:fill>
        <x:patternFill patternType="solid">
          <x:bgColor rgb="FFEAF1F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0db80f4195749ca" /><Relationship Type="http://schemas.openxmlformats.org/officeDocument/2006/relationships/theme" Target="/xl/theme/theme1.xml" Id="Rfc2421569d6249bf" /><Relationship Type="http://schemas.openxmlformats.org/officeDocument/2006/relationships/sharedStrings" Target="/xl/sharedStrings.xml" Id="Rdf0f2f486ffd435e" /><Relationship Type="http://schemas.openxmlformats.org/officeDocument/2006/relationships/worksheet" Target="/xl/worksheets/sheet1.xml" Id="R57810b8a8b1e41ff" /><Relationship Type="http://schemas.openxmlformats.org/officeDocument/2006/relationships/worksheet" Target="/xl/worksheets/sheet2.xml" Id="R02842c23b6d944ef" /><Relationship Type="http://schemas.openxmlformats.org/officeDocument/2006/relationships/worksheet" Target="/xl/worksheets/sheet3.xml" Id="R730cbdc5265545d1" /><Relationship Type="http://schemas.openxmlformats.org/officeDocument/2006/relationships/worksheet" Target="/xl/worksheets/sheet4.xml" Id="R4459c5ae6bce4e15" /><Relationship Type="http://schemas.openxmlformats.org/officeDocument/2006/relationships/worksheet" Target="/xl/worksheets/sheet5.xml" Id="R3937f96a25eb45f9" /><Relationship Type="http://schemas.openxmlformats.org/officeDocument/2006/relationships/worksheet" Target="/xl/worksheets/sheet6.xml" Id="R0916996b087d4fd6" /><Relationship Type="http://schemas.openxmlformats.org/officeDocument/2006/relationships/worksheet" Target="/xl/worksheets/sheet7.xml" Id="Rcfb9c50a6f764d0a" /></Relationships>
</file>

<file path=xl/drawings/_rels/drawing1.xml.rels>&#65279;<?xml version="1.0" encoding="utf-8"?><Relationships xmlns="http://schemas.openxmlformats.org/package/2006/relationships"><Relationship Type="http://schemas.openxmlformats.org/officeDocument/2006/relationships/chart" Target="/xl/drawings/charts/chart1.xml" Id="R76b9a4260def4985" /><Relationship Type="http://schemas.openxmlformats.org/officeDocument/2006/relationships/chart" Target="/xl/drawings/charts/chart2.xml" Id="R5b07d0fa02694f3e" /></Relationships>
</file>

<file path=xl/drawings/_rels/drawing2.xml.rels>&#65279;<?xml version="1.0" encoding="utf-8"?><Relationships xmlns="http://schemas.openxmlformats.org/package/2006/relationships"><Relationship Type="http://schemas.openxmlformats.org/officeDocument/2006/relationships/chart" Target="/xl/drawings/charts/chart3.xml" Id="R439a5b903e4c4a98" /></Relationships>
</file>

<file path=xl/drawings/_rels/drawing3.xml.rels>&#65279;<?xml version="1.0" encoding="utf-8"?><Relationships xmlns="http://schemas.openxmlformats.org/package/2006/relationships"><Relationship Type="http://schemas.openxmlformats.org/officeDocument/2006/relationships/chart" Target="/xl/drawings/charts/chart4.xml" Id="R7238e44611ec4f3a" /></Relationships>
</file>

<file path=xl/drawings/_rels/drawing4.xml.rels>&#65279;<?xml version="1.0" encoding="utf-8"?><Relationships xmlns="http://schemas.openxmlformats.org/package/2006/relationships"><Relationship Type="http://schemas.openxmlformats.org/officeDocument/2006/relationships/chart" Target="/xl/drawings/charts/chart5.xml" Id="Rad40e33ea6d74dd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Turbo lowers inference time (seconds)</a:t>
            </a:r>
          </a:p>
        </c:rich>
      </c:tx>
      <c:overlay val="0"/>
    </c:title>
    <c:plotArea>
      <c:barChart>
        <c:barDir val="col"/>
        <c:varyColors val="0"/>
        <c:ser>
          <c:idx val="0"/>
          <c:order val="0"/>
          <c:tx>
            <c:v>Previous</c:v>
          </c:tx>
          <c:spPr>
            <a:solidFill xmlns:a="http://schemas.openxmlformats.org/drawingml/2006/main">
              <a:srgbClr val="64748B"/>
            </a:solidFill>
          </c:spPr>
          <c:cat>
            <c:strRef>
              <c:f>'Executive Summary'!$A$19:$A$20</c:f>
              <c:strCache>
                <c:ptCount val="0"/>
              </c:strCache>
            </c:strRef>
          </c:cat>
          <c:val>
            <c:numRef>
              <c:f>'Executive Summary'!$B$19:$B$20</c:f>
              <c:numCache>
                <c:formatCode>0.000</c:formatCode>
                <c:ptCount val="0"/>
              </c:numCache>
            </c:numRef>
          </c:val>
        </c:ser>
        <c:ser>
          <c:idx val="1"/>
          <c:order val="1"/>
          <c:tx>
            <c:v>Turbo</c:v>
          </c:tx>
          <c:spPr>
            <a:solidFill xmlns:a="http://schemas.openxmlformats.org/drawingml/2006/main">
              <a:srgbClr val="F97316"/>
            </a:solidFill>
          </c:spPr>
          <c:cat>
            <c:strRef>
              <c:f>'Executive Summary'!$A$19:$A$20</c:f>
              <c:strCache>
                <c:ptCount val="0"/>
              </c:strCache>
            </c:strRef>
          </c:cat>
          <c:val>
            <c:numRef>
              <c:f>'Executive Summary'!$C$19:$C$20</c:f>
              <c:numCache>
                <c:formatCode>0.000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Cache cleanup kept reusable assets</a:t>
            </a:r>
          </a:p>
        </c:rich>
      </c:tx>
      <c:overlay val="0"/>
    </c:title>
    <c:plotArea>
      <c:barChart>
        <c:barDir val="col"/>
        <c:varyColors val="0"/>
        <c:ser>
          <c:idx val="0"/>
          <c:order val="0"/>
          <c:tx>
            <c:v>Before cleanup (GiB)</c:v>
          </c:tx>
          <c:spPr>
            <a:solidFill xmlns:a="http://schemas.openxmlformats.org/drawingml/2006/main">
              <a:srgbClr val="B91C1C"/>
            </a:solidFill>
          </c:spPr>
          <c:cat>
            <c:strRef>
              <c:f>'Executive Summary'!$A$35</c:f>
              <c:strCache>
                <c:ptCount val="0"/>
              </c:strCache>
            </c:strRef>
          </c:cat>
          <c:val>
            <c:numRef>
              <c:f>'Executive Summary'!$B$35</c:f>
              <c:numCache>
                <c:formatCode>0.00</c:formatCode>
                <c:ptCount val="0"/>
              </c:numCache>
            </c:numRef>
          </c:val>
        </c:ser>
        <c:ser>
          <c:idx val="1"/>
          <c:order val="1"/>
          <c:tx>
            <c:v>Current valid cache (GiB)</c:v>
          </c:tx>
          <c:spPr>
            <a:solidFill xmlns:a="http://schemas.openxmlformats.org/drawingml/2006/main">
              <a:srgbClr val="15803D"/>
            </a:solidFill>
          </c:spPr>
          <c:cat>
            <c:strRef>
              <c:f>'Executive Summary'!$A$35</c:f>
              <c:strCache>
                <c:ptCount val="0"/>
              </c:strCache>
            </c:strRef>
          </c:cat>
          <c:val>
            <c:numRef>
              <c:f>'Executive Summary'!$C$35</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Lower normalized CER on this fixture</a:t>
            </a:r>
          </a:p>
        </c:rich>
      </c:tx>
      <c:overlay val="0"/>
    </c:title>
    <c:plotArea>
      <c:barChart>
        <c:barDir val="col"/>
        <c:varyColors val="0"/>
        <c:ser>
          <c:idx val="0"/>
          <c:order val="0"/>
          <c:tx>
            <c:v>Normalized CER</c:v>
          </c:tx>
          <c:cat>
            <c:strRef>
              <c:f>'Reliability'!$F$11:$F$12</c:f>
              <c:strCache>
                <c:ptCount val="0"/>
              </c:strCache>
            </c:strRef>
          </c:cat>
          <c:val>
            <c:numRef>
              <c:f>'Reliability'!$G$11:$G$12</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4.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Warm process memory peaks (MiB)</a:t>
            </a:r>
          </a:p>
        </c:rich>
      </c:tx>
      <c:overlay val="0"/>
    </c:title>
    <c:plotArea>
      <c:barChart>
        <c:barDir val="col"/>
        <c:varyColors val="0"/>
        <c:ser>
          <c:idx val="0"/>
          <c:order val="0"/>
          <c:tx>
            <c:v>Previous</c:v>
          </c:tx>
          <c:spPr>
            <a:solidFill xmlns:a="http://schemas.openxmlformats.org/drawingml/2006/main">
              <a:srgbClr val="64748B"/>
            </a:solidFill>
          </c:spPr>
          <c:cat>
            <c:strRef>
              <c:f>'Memory &amp; Compute'!$H$5:$H$6</c:f>
              <c:strCache>
                <c:ptCount val="0"/>
              </c:strCache>
            </c:strRef>
          </c:cat>
          <c:val>
            <c:numRef>
              <c:f>'Memory &amp; Compute'!$I$5:$I$6</c:f>
              <c:numCache>
                <c:formatCode>0</c:formatCode>
                <c:ptCount val="0"/>
              </c:numCache>
            </c:numRef>
          </c:val>
        </c:ser>
        <c:ser>
          <c:idx val="1"/>
          <c:order val="1"/>
          <c:tx>
            <c:v>Turbo</c:v>
          </c:tx>
          <c:spPr>
            <a:solidFill xmlns:a="http://schemas.openxmlformats.org/drawingml/2006/main">
              <a:srgbClr val="F97316"/>
            </a:solidFill>
          </c:spPr>
          <c:cat>
            <c:strRef>
              <c:f>'Memory &amp; Compute'!$H$5:$H$6</c:f>
              <c:strCache>
                <c:ptCount val="0"/>
              </c:strCache>
            </c:strRef>
          </c:cat>
          <c:val>
            <c:numRef>
              <c:f>'Memory &amp; Compute'!$J$5:$J$6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charts/chart5.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Stale temporary cache removed; completed cache retained</a:t>
            </a:r>
          </a:p>
        </c:rich>
      </c:tx>
      <c:overlay val="0"/>
    </c:title>
    <c:plotArea>
      <c:barChart>
        <c:barDir val="col"/>
        <c:varyColors val="0"/>
        <c:ser>
          <c:idx val="0"/>
          <c:order val="0"/>
          <c:tx>
            <c:v>Before cleanup (GiB)</c:v>
          </c:tx>
          <c:spPr>
            <a:solidFill xmlns:a="http://schemas.openxmlformats.org/drawingml/2006/main">
              <a:srgbClr val="B91C1C"/>
            </a:solidFill>
          </c:spPr>
          <c:cat>
            <c:strRef>
              <c:f>'Storage Audit'!$A$27</c:f>
              <c:strCache>
                <c:ptCount val="0"/>
              </c:strCache>
            </c:strRef>
          </c:cat>
          <c:val>
            <c:numRef>
              <c:f>'Storage Audit'!$B$27</c:f>
              <c:numCache>
                <c:formatCode>0.0</c:formatCode>
                <c:ptCount val="0"/>
              </c:numCache>
            </c:numRef>
          </c:val>
        </c:ser>
        <c:ser>
          <c:idx val="1"/>
          <c:order val="1"/>
          <c:tx>
            <c:v>Current valid cache (GiB)</c:v>
          </c:tx>
          <c:spPr>
            <a:solidFill xmlns:a="http://schemas.openxmlformats.org/drawingml/2006/main">
              <a:srgbClr val="15803D"/>
            </a:solidFill>
          </c:spPr>
          <c:cat>
            <c:strRef>
              <c:f>'Storage Audit'!$A$27</c:f>
              <c:strCache>
                <c:ptCount val="0"/>
              </c:strCache>
            </c:strRef>
          </c:cat>
          <c:val>
            <c:numRef>
              <c:f>'Storage Audit'!$C$27</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17</xdr:row>
      <xdr:rowOff>0</xdr:rowOff>
    </xdr:from>
    <xdr:to>
      <xdr:col>12</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6b9a4260def4985"/>
        </a:graphicData>
      </a:graphic>
    </xdr:graphicFrame>
    <xdr:clientData/>
  </xdr:twoCellAnchor>
  <xdr:twoCellAnchor>
    <xdr:from>
      <xdr:col>4</xdr:col>
      <xdr:colOff>0</xdr:colOff>
      <xdr:row>33</xdr:row>
      <xdr:rowOff>0</xdr:rowOff>
    </xdr:from>
    <xdr:to>
      <xdr:col>12</xdr:col>
      <xdr:colOff>0</xdr:colOff>
      <xdr:row>47</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5b07d0fa02694f3e"/>
        </a:graphicData>
      </a:graphic>
    </xdr:graphicFrame>
    <xdr:clientData/>
  </xdr:twoCellAnchor>
</xdr:wsDr>
</file>

<file path=xl/drawings/drawing2.xml><?xml version="1.0" encoding="utf-8"?>
<xdr:wsDr xmlns:xdr="http://schemas.openxmlformats.org/drawingml/2006/spreadsheetDrawing">
  <xdr:twoCellAnchor>
    <xdr:from>
      <xdr:col>5</xdr:col>
      <xdr:colOff>0</xdr:colOff>
      <xdr:row>13</xdr:row>
      <xdr:rowOff>0</xdr:rowOff>
    </xdr:from>
    <xdr:to>
      <xdr:col>13</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9a5b903e4c4a98"/>
        </a:graphicData>
      </a:graphic>
    </xdr:graphicFrame>
    <xdr:clientData/>
  </xdr:twoCellAnchor>
</xdr:wsDr>
</file>

<file path=xl/drawings/drawing3.xml><?xml version="1.0" encoding="utf-8"?>
<xdr:wsDr xmlns:xdr="http://schemas.openxmlformats.org/drawingml/2006/spreadsheetDrawing">
  <xdr:twoCellAnchor>
    <xdr:from>
      <xdr:col>7</xdr:col>
      <xdr:colOff>0</xdr:colOff>
      <xdr:row>3</xdr:row>
      <xdr:rowOff>0</xdr:rowOff>
    </xdr:from>
    <xdr:to>
      <xdr:col>15</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238e44611ec4f3a"/>
        </a:graphicData>
      </a:graphic>
    </xdr:graphicFrame>
    <xdr:clientData/>
  </xdr:twoCellAnchor>
</xdr:wsDr>
</file>

<file path=xl/drawings/drawing4.xml><?xml version="1.0" encoding="utf-8"?>
<xdr:wsDr xmlns:xdr="http://schemas.openxmlformats.org/drawingml/2006/spreadsheetDrawing">
  <xdr:twoCellAnchor>
    <xdr:from>
      <xdr:col>4</xdr:col>
      <xdr:colOff>0</xdr:colOff>
      <xdr:row>25</xdr:row>
      <xdr:rowOff>0</xdr:rowOff>
    </xdr:from>
    <xdr:to>
      <xdr:col>9</xdr:col>
      <xdr:colOff>0</xdr:colOff>
      <xdr:row>39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d40e33ea6d74dd4"/>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49983ab1aa5249c2" /></Relationships>
</file>

<file path=xl/worksheets/_rels/sheet3.xml.rels>&#65279;<?xml version="1.0" encoding="utf-8"?><Relationships xmlns="http://schemas.openxmlformats.org/package/2006/relationships"><Relationship Type="http://schemas.openxmlformats.org/officeDocument/2006/relationships/drawing" Target="/xl/drawings/drawing2.xml" Id="Re1b7297cf98547b7" /></Relationships>
</file>

<file path=xl/worksheets/_rels/sheet4.xml.rels>&#65279;<?xml version="1.0" encoding="utf-8"?><Relationships xmlns="http://schemas.openxmlformats.org/package/2006/relationships"><Relationship Type="http://schemas.openxmlformats.org/officeDocument/2006/relationships/drawing" Target="/xl/drawings/drawing3.xml" Id="Rd49643339c2b4476" /></Relationships>
</file>

<file path=xl/worksheets/_rels/sheet5.xml.rels>&#65279;<?xml version="1.0" encoding="utf-8"?><Relationships xmlns="http://schemas.openxmlformats.org/package/2006/relationships"><Relationship Type="http://schemas.openxmlformats.org/officeDocument/2006/relationships/drawing" Target="/xl/drawings/drawing4.xml" Id="R5d267aa0d413449f" /></Relationships>
</file>

<file path=xl/worksheets/sheet1.xml><?xml version="1.0" encoding="utf-8"?>
<x:worksheet xmlns:x="http://schemas.openxmlformats.org/spreadsheetml/2006/main">
  <x:sheetViews>
    <x:sheetView showGridLines="0" workbookViewId="0"/>
  </x:sheetViews>
  <x:sheetFormatPr defaultRowHeight="15"/>
  <x:cols>
    <x:col min="1" max="1" width="26" hidden="0" customWidth="1"/>
    <x:col min="2" max="2" width="16" hidden="0" customWidth="1"/>
    <x:col min="3" max="3" width="16" hidden="0" customWidth="1"/>
    <x:col min="4" max="4" width="3"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s>
  <x:sheetData>
    <x:row r="1" ht="34" customHeight="1">
      <x:c r="A1" s="3" t="str">
        <x:v>NoType Local Model Decision Report</x:v>
      </x:c>
      <x:c r="B1" s="3" t="str">
        <x:v>NoType Local Model Decision Report</x:v>
      </x:c>
      <x:c r="C1" s="3" t="str">
        <x:v>NoType Local Model Decision Report</x:v>
      </x:c>
      <x:c r="D1" s="3" t="str">
        <x:v>NoType Local Model Decision Report</x:v>
      </x:c>
      <x:c r="E1" s="3" t="str">
        <x:v>NoType Local Model Decision Report</x:v>
      </x:c>
      <x:c r="F1" s="3" t="str">
        <x:v>NoType Local Model Decision Report</x:v>
      </x:c>
      <x:c r="G1" s="3" t="str">
        <x:v>NoType Local Model Decision Report</x:v>
      </x:c>
      <x:c r="H1" s="3" t="str">
        <x:v>NoType Local Model Decision Report</x:v>
      </x:c>
      <x:c r="I1" s="3" t="str">
        <x:v>NoType Local Model Decision Report</x:v>
      </x:c>
      <x:c r="J1" s="3" t="str">
        <x:v>NoType Local Model Decision Report</x:v>
      </x:c>
      <x:c r="K1" s="3" t="str">
        <x:v>NoType Local Model Decision Report</x:v>
      </x:c>
      <x:c r="L1" s="3" t="str">
        <x:v>NoType Local Model Decision Report</x:v>
      </x:c>
    </x:row>
    <x:row r="2" ht="28" customHeight="1">
      <x:c r="A2" s="6" t="str">
        <x:v>Current Turbo package vs previous package · measured 2026-08-16 on Apple M4 · formulas link to the detailed evidence sheets</x:v>
      </x:c>
      <x:c r="B2" s="6" t="str">
        <x:v>Current Turbo package vs previous package · measured 2026-08-16 on Apple M4 · formulas link to the detailed evidence sheets</x:v>
      </x:c>
      <x:c r="C2" s="6" t="str">
        <x:v>Current Turbo package vs previous package · measured 2026-08-16 on Apple M4 · formulas link to the detailed evidence sheets</x:v>
      </x:c>
      <x:c r="D2" s="6" t="str">
        <x:v>Current Turbo package vs previous package · measured 2026-08-16 on Apple M4 · formulas link to the detailed evidence sheets</x:v>
      </x:c>
      <x:c r="E2" s="6" t="str">
        <x:v>Current Turbo package vs previous package · measured 2026-08-16 on Apple M4 · formulas link to the detailed evidence sheets</x:v>
      </x:c>
      <x:c r="F2" s="6" t="str">
        <x:v>Current Turbo package vs previous package · measured 2026-08-16 on Apple M4 · formulas link to the detailed evidence sheets</x:v>
      </x:c>
      <x:c r="G2" s="6" t="str">
        <x:v>Current Turbo package vs previous package · measured 2026-08-16 on Apple M4 · formulas link to the detailed evidence sheets</x:v>
      </x:c>
      <x:c r="H2" s="6" t="str">
        <x:v>Current Turbo package vs previous package · measured 2026-08-16 on Apple M4 · formulas link to the detailed evidence sheets</x:v>
      </x:c>
      <x:c r="I2" s="6" t="str">
        <x:v>Current Turbo package vs previous package · measured 2026-08-16 on Apple M4 · formulas link to the detailed evidence sheets</x:v>
      </x:c>
      <x:c r="J2" s="6" t="str">
        <x:v>Current Turbo package vs previous package · measured 2026-08-16 on Apple M4 · formulas link to the detailed evidence sheets</x:v>
      </x:c>
      <x:c r="K2" s="6" t="str">
        <x:v>Current Turbo package vs previous package · measured 2026-08-16 on Apple M4 · formulas link to the detailed evidence sheets</x:v>
      </x:c>
      <x:c r="L2" s="6" t="str">
        <x:v>Current Turbo package vs previous package · measured 2026-08-16 on Apple M4 · formulas link to the detailed evidence sheets</x:v>
      </x:c>
    </x:row>
    <x:row r="4">
      <x:c r="A4" s="266" t="str">
        <x:v>Median pipeline reduction</x:v>
      </x:c>
      <x:c r="B4" s="267" t="str">
        <x:v>Median pipeline reduction</x:v>
      </x:c>
      <x:c r="C4" s="268" t="str">
        <x:v>Median pipeline reduction</x:v>
      </x:c>
      <x:c r="D4" s="179" t="str">
        <x:v>Median encoding reduction</x:v>
      </x:c>
      <x:c r="E4" s="180" t="str">
        <x:v>Median encoding reduction</x:v>
      </x:c>
      <x:c r="F4" s="181" t="str">
        <x:v>Median encoding reduction</x:v>
      </x:c>
      <x:c r="G4" s="301" t="str">
        <x:v>Turbo normalized CER</x:v>
      </x:c>
      <x:c r="H4" s="302" t="str">
        <x:v>Turbo normalized CER</x:v>
      </x:c>
      <x:c r="I4" s="303" t="str">
        <x:v>Turbo normalized CER</x:v>
      </x:c>
      <x:c r="J4" s="146" t="str">
        <x:v>Storage released</x:v>
      </x:c>
      <x:c r="K4" s="147" t="str">
        <x:v>Storage released</x:v>
      </x:c>
      <x:c r="L4" s="148" t="str">
        <x:v>Storage released</x:v>
      </x:c>
    </x:row>
    <x:row r="5">
      <x:c r="A5" s="275" t="n">
        <x:f>1-'Performance A-B'!D25/'Performance A-B'!D24</x:f>
        <x:v>0.29763918175273496</x:v>
      </x:c>
      <x:c r="B5" s="276"/>
      <x:c r="C5" s="277"/>
      <x:c r="D5" s="287" t="n">
        <x:f>1-'Performance A-B'!E25/'Performance A-B'!E24</x:f>
        <x:v>0.4554272758763087</x:v>
      </x:c>
      <x:c r="E5" s="288"/>
      <x:c r="F5" s="289"/>
      <x:c r="G5" s="310" t="n">
        <x:f>'Reliability'!F6</x:f>
        <x:v>0.029411764705882353</x:v>
      </x:c>
      <x:c r="H5" s="311"/>
      <x:c r="I5" s="312"/>
      <x:c r="J5" s="155" t="n">
        <x:f>6705436/1048576</x:f>
        <x:v>6.394802093505859</x:v>
      </x:c>
      <x:c r="K5" s="156"/>
      <x:c r="L5" s="157"/>
    </x:row>
    <x:row r="6">
      <x:c r="A6" s="275"/>
      <x:c r="B6" s="276"/>
      <x:c r="C6" s="277"/>
      <x:c r="D6" s="287"/>
      <x:c r="E6" s="288"/>
      <x:c r="F6" s="289"/>
      <x:c r="G6" s="310"/>
      <x:c r="H6" s="311"/>
      <x:c r="I6" s="312"/>
      <x:c r="J6" s="155"/>
      <x:c r="K6" s="156"/>
      <x:c r="L6" s="157"/>
    </x:row>
    <x:row r="7">
      <x:c r="A7" s="275"/>
      <x:c r="B7" s="276"/>
      <x:c r="C7" s="277"/>
      <x:c r="D7" s="287"/>
      <x:c r="E7" s="288"/>
      <x:c r="F7" s="289"/>
      <x:c r="G7" s="310"/>
      <x:c r="H7" s="311"/>
      <x:c r="I7" s="312"/>
      <x:c r="J7" s="155"/>
      <x:c r="K7" s="156"/>
      <x:c r="L7" s="157"/>
    </x:row>
    <x:row r="8">
      <x:c r="A8" s="284" t="str">
        <x:v>1.188 s → 0.834 s</x:v>
      </x:c>
      <x:c r="B8" s="285" t="str">
        <x:v>1.188 s → 0.834 s</x:v>
      </x:c>
      <x:c r="C8" s="286" t="str">
        <x:v>1.188 s → 0.834 s</x:v>
      </x:c>
      <x:c r="D8" s="197" t="str">
        <x:v>0.618 s → 0.337 s</x:v>
      </x:c>
      <x:c r="E8" s="198" t="str">
        <x:v>0.618 s → 0.337 s</x:v>
      </x:c>
      <x:c r="F8" s="199" t="str">
        <x:v>0.618 s → 0.337 s</x:v>
      </x:c>
      <x:c r="G8" s="319" t="str">
        <x:v>Previous: 4.4% on one fixture</x:v>
      </x:c>
      <x:c r="H8" s="320" t="str">
        <x:v>Previous: 4.4% on one fixture</x:v>
      </x:c>
      <x:c r="I8" s="321" t="str">
        <x:v>Previous: 4.4% on one fixture</x:v>
      </x:c>
      <x:c r="J8" s="164" t="str">
        <x:v>Stale temporary cache only</x:v>
      </x:c>
      <x:c r="K8" s="165" t="str">
        <x:v>Stale temporary cache only</x:v>
      </x:c>
      <x:c r="L8" s="166" t="str">
        <x:v>Stale temporary cache only</x:v>
      </x:c>
    </x:row>
    <x:row r="11" ht="23" customHeight="1">
      <x:c r="A11" s="42" t="str">
        <x:v>Decision summary</x:v>
      </x:c>
      <x:c r="B11" s="42" t="str">
        <x:v>Decision summary</x:v>
      </x:c>
      <x:c r="C11" s="42" t="str">
        <x:v>Decision summary</x:v>
      </x:c>
      <x:c r="D11" s="42" t="str">
        <x:v>Decision summary</x:v>
      </x:c>
      <x:c r="E11" s="42" t="str">
        <x:v>Decision summary</x:v>
      </x:c>
      <x:c r="F11" s="42" t="str">
        <x:v>Decision summary</x:v>
      </x:c>
      <x:c r="G11" s="42" t="str">
        <x:v>Decision summary</x:v>
      </x:c>
      <x:c r="H11" s="42" t="str">
        <x:v>Decision summary</x:v>
      </x:c>
      <x:c r="I11" s="42" t="str">
        <x:v>Decision summary</x:v>
      </x:c>
      <x:c r="J11" s="42" t="str">
        <x:v>Decision summary</x:v>
      </x:c>
      <x:c r="K11" s="42" t="str">
        <x:v>Decision summary</x:v>
      </x:c>
      <x:c r="L11" s="42" t="str">
        <x:v>Decision summary</x:v>
      </x:c>
    </x:row>
    <x:row r="12">
      <x:c r="A12" s="340"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B12" s="341"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C12" s="341"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D12" s="341"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E12" s="341"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F12" s="341"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G12" s="341"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H12" s="341"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I12" s="341"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J12" s="341"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K12" s="341"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L12" s="342"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row>
    <x:row r="13">
      <x:c r="A13" s="343"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B13"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C13"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D13"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E13"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F13"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G13"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H13"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I13"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J13"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K13"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L13" s="345"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row>
    <x:row r="14">
      <x:c r="A14" s="343"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B14"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C14"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D14"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E14"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F14"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G14"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H14"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I14"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J14"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K14" s="344"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L14" s="345"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row>
    <x:row r="15">
      <x:c r="A15" s="346"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B15" s="347"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C15" s="347"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D15" s="347"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E15" s="347"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F15" s="347"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G15" s="347"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H15" s="347"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I15" s="347"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J15" s="347"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K15" s="347"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c r="L15" s="348" t="str">
        <x:v>Keep Turbo as the active local model. It completed 7/7 controlled runs, reduced median full-pipeline time by about 30%, reduced encoding time by about 46%, and produced a slightly lower normalized CER on the test fixture. The trade-off is higher warm-process memory (about +14% by footprint) and a long first Core ML specialization when no valid cache exists. The new Diagnostics state makes that first preparation visible.</x:v>
      </x:c>
    </x:row>
    <x:row r="18" ht="28" customHeight="1">
      <x:c r="A18" s="17" t="str">
        <x:v>Metric</x:v>
      </x:c>
      <x:c r="B18" s="18" t="str">
        <x:v>Previous</x:v>
      </x:c>
      <x:c r="C18" s="19" t="str">
        <x:v>Turbo</x:v>
      </x:c>
    </x:row>
    <x:row r="19">
      <x:c r="A19" s="25" t="str">
        <x:v>Median full pipeline (s)</x:v>
      </x:c>
      <x:c r="B19" s="27" t="n">
        <x:f>'Performance A-B'!D24</x:f>
        <x:v>1.1880289316</x:v>
      </x:c>
      <x:c r="C19" s="27" t="n">
        <x:f>'Performance A-B'!D25</x:f>
        <x:v>0.8344249725</x:v>
      </x:c>
    </x:row>
    <x:row r="20">
      <x:c r="A20" s="26" t="str">
        <x:v>Median encoding (s)</x:v>
      </x:c>
      <x:c r="B20" s="28" t="n">
        <x:f>'Performance A-B'!E24</x:f>
        <x:v>0.6179689169</x:v>
      </x:c>
      <x:c r="C20" s="28" t="n">
        <x:f>'Performance A-B'!E25</x:f>
        <x:v>0.3365290165</x:v>
      </x:c>
    </x:row>
    <x:row r="34" ht="28" customHeight="1">
      <x:c r="A34" s="17" t="str">
        <x:v>Core ML cache</x:v>
      </x:c>
      <x:c r="B34" s="18" t="str">
        <x:v>Before cleanup (GiB)</x:v>
      </x:c>
      <x:c r="C34" s="19" t="str">
        <x:v>Current valid cache (GiB)</x:v>
      </x:c>
    </x:row>
    <x:row r="35">
      <x:c r="A35" s="25" t="str">
        <x:v>NoType</x:v>
      </x:c>
      <x:c r="B35" s="29" t="n">
        <x:f>(6705436+561440)/1048576</x:f>
        <x:v>6.930233001708984</x:v>
      </x:c>
      <x:c r="C35" s="29" t="n">
        <x:f>704712/1048576</x:f>
        <x:v>0.6720657348632812</x:v>
      </x:c>
    </x:row>
    <x:row r="50" ht="23" customHeight="1">
      <x:c r="A50" s="42" t="str">
        <x:v>What to expect after restart</x:v>
      </x:c>
      <x:c r="B50" s="42" t="str">
        <x:v>What to expect after restart</x:v>
      </x:c>
      <x:c r="C50" s="42" t="str">
        <x:v>What to expect after restart</x:v>
      </x:c>
      <x:c r="D50" s="42" t="str">
        <x:v>What to expect after restart</x:v>
      </x:c>
      <x:c r="E50" s="42" t="str">
        <x:v>What to expect after restart</x:v>
      </x:c>
      <x:c r="F50" s="42" t="str">
        <x:v>What to expect after restart</x:v>
      </x:c>
      <x:c r="G50" s="42" t="str">
        <x:v>What to expect after restart</x:v>
      </x:c>
      <x:c r="H50" s="42" t="str">
        <x:v>What to expect after restart</x:v>
      </x:c>
      <x:c r="I50" s="42" t="str">
        <x:v>What to expect after restart</x:v>
      </x:c>
      <x:c r="J50" s="42" t="str">
        <x:v>What to expect after restart</x:v>
      </x:c>
      <x:c r="K50" s="42" t="str">
        <x:v>What to expect after restart</x:v>
      </x:c>
      <x:c r="L50" s="42" t="str">
        <x:v>What to expect after restart</x:v>
      </x:c>
    </x:row>
    <x:row r="51">
      <x:c r="A51" s="246"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B51" s="247"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C51" s="247"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D51" s="247"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E51" s="247"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F51" s="247"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G51" s="247"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H51" s="247"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I51" s="247"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J51" s="247"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K51" s="247"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L51" s="248"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row>
    <x:row r="52">
      <x:c r="A52" s="249"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B52"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C52"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D52"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E52"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F52"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G52"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H52"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I52"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J52"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K52"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L52" s="251"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row>
    <x:row r="53">
      <x:c r="A53" s="249"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B53"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C53"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D53"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E53"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F53"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G53"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H53"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I53"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J53"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K53"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L53" s="251"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row>
    <x:row r="54">
      <x:c r="A54" s="249"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B54"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C54"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D54"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E54"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F54"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G54"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H54"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I54"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J54"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K54" s="250"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L54" s="251"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row>
    <x:row r="55">
      <x:c r="A55" s="252"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B55" s="253"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C55" s="253"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D55" s="253"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E55" s="253"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F55" s="253"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G55" s="253"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H55" s="253"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I55" s="253"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J55" s="253"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K55" s="253"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c r="L55" s="254" t="str">
        <x:v>Normal App or Mac restarts should reuse the completed Core ML cache and reach Ready quickly; the verified warm restart reached Ready in the same log second. Replacing the entire app bundle can create a new Core ML cache identity and require one fresh preparation, as this install did. Do not delete completed .bundle caches as routine maintenance. Diagnostics now shows Preparing, Ready, or Failed without opening the log.</x:v>
      </x:c>
    </x:row>
  </x:sheetData>
  <x:mergeCells>
    <x:mergeCell ref="A1:L1"/>
    <x:mergeCell ref="A2:L2"/>
    <x:mergeCell ref="A4:C4"/>
    <x:mergeCell ref="A5:C7"/>
    <x:mergeCell ref="A8:C8"/>
    <x:mergeCell ref="D4:F4"/>
    <x:mergeCell ref="D5:F7"/>
    <x:mergeCell ref="D8:F8"/>
    <x:mergeCell ref="G4:I4"/>
    <x:mergeCell ref="G5:I7"/>
    <x:mergeCell ref="G8:I8"/>
    <x:mergeCell ref="J4:L4"/>
    <x:mergeCell ref="J5:L7"/>
    <x:mergeCell ref="J8:L8"/>
    <x:mergeCell ref="A11:L11"/>
    <x:mergeCell ref="A12:L15"/>
    <x:mergeCell ref="A50:L50"/>
    <x:mergeCell ref="A51:L55"/>
  </x:mergeCells>
  <x:pageMargins left="0.7" right="0.7" top="0.75" bottom="0.75" header="0.3" footer="0.3"/>
  <x:drawing xmlns:r="http://schemas.openxmlformats.org/officeDocument/2006/relationships" r:id="R49983ab1aa5249c2"/>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8" hidden="0" customWidth="1"/>
    <x:col min="3" max="3" width="12"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48" hidden="0" customWidth="1"/>
  </x:cols>
  <x:sheetData>
    <x:row r="1" ht="34" customHeight="1">
      <x:c r="A1" s="3" t="str">
        <x:v>Controlled Old vs Turbo A/B</x:v>
      </x:c>
      <x:c r="B1" s="3" t="str">
        <x:v>Controlled Old vs Turbo A/B</x:v>
      </x:c>
      <x:c r="C1" s="3" t="str">
        <x:v>Controlled Old vs Turbo A/B</x:v>
      </x:c>
      <x:c r="D1" s="3" t="str">
        <x:v>Controlled Old vs Turbo A/B</x:v>
      </x:c>
      <x:c r="E1" s="3" t="str">
        <x:v>Controlled Old vs Turbo A/B</x:v>
      </x:c>
      <x:c r="F1" s="3" t="str">
        <x:v>Controlled Old vs Turbo A/B</x:v>
      </x:c>
      <x:c r="G1" s="3" t="str">
        <x:v>Controlled Old vs Turbo A/B</x:v>
      </x:c>
      <x:c r="H1" s="3" t="str">
        <x:v>Controlled Old vs Turbo A/B</x:v>
      </x:c>
      <x:c r="I1" s="3" t="str">
        <x:v>Controlled Old vs Turbo A/B</x:v>
      </x:c>
      <x:c r="J1" s="3" t="str">
        <x:v>Controlled Old vs Turbo A/B</x:v>
      </x:c>
      <x:c r="K1" s="3" t="str">
        <x:v>Controlled Old vs Turbo A/B</x:v>
      </x:c>
      <x:c r="L1" s="3" t="str">
        <x:v>Controlled Old vs Turbo A/B</x:v>
      </x:c>
      <x:c r="M1" s="3" t="str">
        <x:v>Controlled Old vs Turbo A/B</x:v>
      </x:c>
      <x:c r="N1" s="3" t="str">
        <x:v>Controlled Old vs Turbo A/B</x:v>
      </x:c>
    </x:row>
    <x:row r="2" ht="28" customHeight="1">
      <x:c r="A2" s="6" t="str">
        <x:v>Seven alternating warm-cache runs per model · same 12.43 s mixed Chinese/English TTS fixture · Core ML CPU+Neural Engine</x:v>
      </x:c>
      <x:c r="B2" s="6" t="str">
        <x:v>Seven alternating warm-cache runs per model · same 12.43 s mixed Chinese/English TTS fixture · Core ML CPU+Neural Engine</x:v>
      </x:c>
      <x:c r="C2" s="6" t="str">
        <x:v>Seven alternating warm-cache runs per model · same 12.43 s mixed Chinese/English TTS fixture · Core ML CPU+Neural Engine</x:v>
      </x:c>
      <x:c r="D2" s="6" t="str">
        <x:v>Seven alternating warm-cache runs per model · same 12.43 s mixed Chinese/English TTS fixture · Core ML CPU+Neural Engine</x:v>
      </x:c>
      <x:c r="E2" s="6" t="str">
        <x:v>Seven alternating warm-cache runs per model · same 12.43 s mixed Chinese/English TTS fixture · Core ML CPU+Neural Engine</x:v>
      </x:c>
      <x:c r="F2" s="6" t="str">
        <x:v>Seven alternating warm-cache runs per model · same 12.43 s mixed Chinese/English TTS fixture · Core ML CPU+Neural Engine</x:v>
      </x:c>
      <x:c r="G2" s="6" t="str">
        <x:v>Seven alternating warm-cache runs per model · same 12.43 s mixed Chinese/English TTS fixture · Core ML CPU+Neural Engine</x:v>
      </x:c>
      <x:c r="H2" s="6" t="str">
        <x:v>Seven alternating warm-cache runs per model · same 12.43 s mixed Chinese/English TTS fixture · Core ML CPU+Neural Engine</x:v>
      </x:c>
      <x:c r="I2" s="6" t="str">
        <x:v>Seven alternating warm-cache runs per model · same 12.43 s mixed Chinese/English TTS fixture · Core ML CPU+Neural Engine</x:v>
      </x:c>
      <x:c r="J2" s="6" t="str">
        <x:v>Seven alternating warm-cache runs per model · same 12.43 s mixed Chinese/English TTS fixture · Core ML CPU+Neural Engine</x:v>
      </x:c>
      <x:c r="K2" s="6" t="str">
        <x:v>Seven alternating warm-cache runs per model · same 12.43 s mixed Chinese/English TTS fixture · Core ML CPU+Neural Engine</x:v>
      </x:c>
      <x:c r="L2" s="6" t="str">
        <x:v>Seven alternating warm-cache runs per model · same 12.43 s mixed Chinese/English TTS fixture · Core ML CPU+Neural Engine</x:v>
      </x:c>
      <x:c r="M2" s="6" t="str">
        <x:v>Seven alternating warm-cache runs per model · same 12.43 s mixed Chinese/English TTS fixture · Core ML CPU+Neural Engine</x:v>
      </x:c>
      <x:c r="N2" s="6" t="str">
        <x:v>Seven alternating warm-cache runs per model · same 12.43 s mixed Chinese/English TTS fixture · Core ML CPU+Neural Engine</x:v>
      </x:c>
    </x:row>
    <x:row r="3">
      <x:c r="A3" s="9" t="str">
        <x:v>Audio duration (s)</x:v>
      </x:c>
      <x:c r="B3" s="9" t="n">
        <x:v>12.4278125</x:v>
      </x:c>
      <x:c r="C3" s="9"/>
      <x:c r="D3" s="9" t="str">
        <x:v>Inference timings come from WhisperKit JSON reports; process memory comes from /usr/bin/time -l.</x:v>
      </x:c>
      <x:c r="E3" s="9" t="str">
        <x:v>Inference timings come from WhisperKit JSON reports; process memory comes from /usr/bin/time -l.</x:v>
      </x:c>
      <x:c r="F3" s="9" t="str">
        <x:v>Inference timings come from WhisperKit JSON reports; process memory comes from /usr/bin/time -l.</x:v>
      </x:c>
      <x:c r="G3" s="9" t="str">
        <x:v>Inference timings come from WhisperKit JSON reports; process memory comes from /usr/bin/time -l.</x:v>
      </x:c>
      <x:c r="H3" s="9" t="str">
        <x:v>Inference timings come from WhisperKit JSON reports; process memory comes from /usr/bin/time -l.</x:v>
      </x:c>
      <x:c r="I3" s="9" t="str">
        <x:v>Inference timings come from WhisperKit JSON reports; process memory comes from /usr/bin/time -l.</x:v>
      </x:c>
      <x:c r="J3" s="9" t="str">
        <x:v>Inference timings come from WhisperKit JSON reports; process memory comes from /usr/bin/time -l.</x:v>
      </x:c>
      <x:c r="K3" s="9" t="str">
        <x:v>Inference timings come from WhisperKit JSON reports; process memory comes from /usr/bin/time -l.</x:v>
      </x:c>
      <x:c r="L3" s="9" t="str">
        <x:v>Inference timings come from WhisperKit JSON reports; process memory comes from /usr/bin/time -l.</x:v>
      </x:c>
      <x:c r="M3" s="9" t="str">
        <x:v>Inference timings come from WhisperKit JSON reports; process memory comes from /usr/bin/time -l.</x:v>
      </x:c>
      <x:c r="N3" s="9" t="str">
        <x:v>Inference timings come from WhisperKit JSON reports; process memory comes from /usr/bin/time -l.</x:v>
      </x:c>
    </x:row>
    <x:row r="5" ht="28" customHeight="1">
      <x:c r="A5" s="17" t="str">
        <x:v>Round</x:v>
      </x:c>
      <x:c r="B5" s="18" t="str">
        <x:v>Order</x:v>
      </x:c>
      <x:c r="C5" s="18" t="str">
        <x:v>Model</x:v>
      </x:c>
      <x:c r="D5" s="18" t="str">
        <x:v>Model load (s)</x:v>
      </x:c>
      <x:c r="E5" s="18" t="str">
        <x:v>Full pipeline (s)</x:v>
      </x:c>
      <x:c r="F5" s="18" t="str">
        <x:v>Decode loop (s)</x:v>
      </x:c>
      <x:c r="G5" s="18" t="str">
        <x:v>Encoding (s)</x:v>
      </x:c>
      <x:c r="H5" s="18" t="str">
        <x:v>Prefill (s)</x:v>
      </x:c>
      <x:c r="I5" s="18" t="str">
        <x:v>Decode loops</x:v>
      </x:c>
      <x:c r="J5" s="18" t="str">
        <x:v>Wall (s)</x:v>
      </x:c>
      <x:c r="K5" s="18" t="str">
        <x:v>Max RSS (MiB)</x:v>
      </x:c>
      <x:c r="L5" s="18" t="str">
        <x:v>Peak footprint (MiB)</x:v>
      </x:c>
      <x:c r="M5" s="18" t="str">
        <x:v>Success</x:v>
      </x:c>
      <x:c r="N5" s="19" t="str">
        <x:v>Transcript</x:v>
      </x:c>
    </x:row>
    <x:row r="6" ht="31" customHeight="1">
      <x:c r="A6" s="25" t="n">
        <x:v>1</x:v>
      </x:c>
      <x:c r="B6" s="25" t="n">
        <x:v>1</x:v>
      </x:c>
      <x:c r="C6" s="25" t="str">
        <x:v>Previous</x:v>
      </x:c>
      <x:c r="D6" s="27" t="n">
        <x:v>1.4744919538</x:v>
      </x:c>
      <x:c r="E6" s="27" t="n">
        <x:v>1.2012679577</x:v>
      </x:c>
      <x:c r="F6" s="27" t="n">
        <x:v>1.1946870089</x:v>
      </x:c>
      <x:c r="G6" s="27" t="n">
        <x:v>0.6198570728</x:v>
      </x:c>
      <x:c r="H6" s="27" t="n">
        <x:v>0.000019908</x:v>
      </x:c>
      <x:c r="I6" s="25" t="n">
        <x:v>53</x:v>
      </x:c>
      <x:c r="J6" s="29" t="n">
        <x:v>2.74</x:v>
      </x:c>
      <x:c r="K6" s="29" t="n">
        <x:v>108.1875</x:v>
      </x:c>
      <x:c r="L6" s="29" t="n">
        <x:v>120.8132553100586</x:v>
      </x:c>
      <x:c r="M6" s="25" t="str">
        <x:v>Yes</x:v>
      </x:c>
      <x:c r="N6" s="25" t="str">
        <x:v>今天下午3點,請提醒我在 Slack 給 Amy 發送 Note Type 項目進度新的 Turbo 模型應該更快,也要保持中文和 English Terms 的準確性</x:v>
      </x:c>
    </x:row>
    <x:row r="7" ht="31" customHeight="1">
      <x:c r="A7" s="26" t="n">
        <x:v>1</x:v>
      </x:c>
      <x:c r="B7" s="26" t="n">
        <x:v>2</x:v>
      </x:c>
      <x:c r="C7" s="26" t="str">
        <x:v>Turbo</x:v>
      </x:c>
      <x:c r="D7" s="28" t="n">
        <x:v>1.7660019398</x:v>
      </x:c>
      <x:c r="E7" s="28" t="n">
        <x:v>0.8364019394</x:v>
      </x:c>
      <x:c r="F7" s="28" t="n">
        <x:v>0.8310079575</x:v>
      </x:c>
      <x:c r="G7" s="28" t="n">
        <x:v>0.3370819092</x:v>
      </x:c>
      <x:c r="H7" s="28" t="n">
        <x:v>0.0009390116</x:v>
      </x:c>
      <x:c r="I7" s="26" t="n">
        <x:v>49</x:v>
      </x:c>
      <x:c r="J7" s="30" t="n">
        <x:v>2.66</x:v>
      </x:c>
      <x:c r="K7" s="30" t="n">
        <x:v>212.21875</x:v>
      </x:c>
      <x:c r="L7" s="30" t="n">
        <x:v>138.95399475097656</x:v>
      </x:c>
      <x:c r="M7" s="26" t="str">
        <x:v>Yes</x:v>
      </x:c>
      <x:c r="N7" s="26" t="str">
        <x:v>今天下午三點請提醒我在Slack給Amy發送Note Type項目進度新的Turbo模型應該更快也要保持中文和English Terms的準確性</x:v>
      </x:c>
    </x:row>
    <x:row r="8" ht="31" customHeight="1">
      <x:c r="A8" s="26" t="n">
        <x:v>2</x:v>
      </x:c>
      <x:c r="B8" s="26" t="n">
        <x:v>1</x:v>
      </x:c>
      <x:c r="C8" s="26" t="str">
        <x:v>Turbo</x:v>
      </x:c>
      <x:c r="D8" s="28" t="n">
        <x:v>0.931303978</x:v>
      </x:c>
      <x:c r="E8" s="28" t="n">
        <x:v>0.832983017</x:v>
      </x:c>
      <x:c r="F8" s="28" t="n">
        <x:v>0.8276480436</x:v>
      </x:c>
      <x:c r="G8" s="28" t="n">
        <x:v>0.3360260725</x:v>
      </x:c>
      <x:c r="H8" s="28" t="n">
        <x:v>0.0009919405</x:v>
      </x:c>
      <x:c r="I8" s="26" t="n">
        <x:v>49</x:v>
      </x:c>
      <x:c r="J8" s="30" t="n">
        <x:v>1.83</x:v>
      </x:c>
      <x:c r="K8" s="30" t="n">
        <x:v>212.328125</x:v>
      </x:c>
      <x:c r="L8" s="30" t="n">
        <x:v>138.93836975097656</x:v>
      </x:c>
      <x:c r="M8" s="26" t="str">
        <x:v>Yes</x:v>
      </x:c>
      <x:c r="N8" s="26" t="str">
        <x:v>今天下午三點請提醒我在Slack給Amy發送Note Type項目進度新的Turbo模型應該更快也要保持中文和English Terms的準確性</x:v>
      </x:c>
    </x:row>
    <x:row r="9" ht="31" customHeight="1">
      <x:c r="A9" s="26" t="n">
        <x:v>2</x:v>
      </x:c>
      <x:c r="B9" s="26" t="n">
        <x:v>2</x:v>
      </x:c>
      <x:c r="C9" s="26" t="str">
        <x:v>Previous</x:v>
      </x:c>
      <x:c r="D9" s="28" t="n">
        <x:v>1.0275309086</x:v>
      </x:c>
      <x:c r="E9" s="28" t="n">
        <x:v>1.1828529835</x:v>
      </x:c>
      <x:c r="F9" s="28" t="n">
        <x:v>1.1765420437</x:v>
      </x:c>
      <x:c r="G9" s="28" t="n">
        <x:v>0.6177639961</x:v>
      </x:c>
      <x:c r="H9" s="28" t="n">
        <x:v>0.0000180006</x:v>
      </x:c>
      <x:c r="I9" s="26" t="n">
        <x:v>53</x:v>
      </x:c>
      <x:c r="J9" s="30" t="n">
        <x:v>2.27</x:v>
      </x:c>
      <x:c r="K9" s="30" t="n">
        <x:v>108.296875</x:v>
      </x:c>
      <x:c r="L9" s="30" t="n">
        <x:v>120.92269897460938</x:v>
      </x:c>
      <x:c r="M9" s="26" t="str">
        <x:v>Yes</x:v>
      </x:c>
      <x:c r="N9" s="26" t="str">
        <x:v>今天下午3點,請提醒我在 Slack 給 Amy 發送 Note Type 項目進度新的 Turbo 模型應該更快,也要保持中文和 English Terms 的準確性</x:v>
      </x:c>
    </x:row>
    <x:row r="10" ht="31" customHeight="1">
      <x:c r="A10" s="26" t="n">
        <x:v>3</x:v>
      </x:c>
      <x:c r="B10" s="26" t="n">
        <x:v>1</x:v>
      </x:c>
      <x:c r="C10" s="26" t="str">
        <x:v>Previous</x:v>
      </x:c>
      <x:c r="D10" s="28" t="n">
        <x:v>0.6049109697</x:v>
      </x:c>
      <x:c r="E10" s="28" t="n">
        <x:v>1.1873389482</x:v>
      </x:c>
      <x:c r="F10" s="28" t="n">
        <x:v>1.1810289621</x:v>
      </x:c>
      <x:c r="G10" s="28" t="n">
        <x:v>0.6179689169</x:v>
      </x:c>
      <x:c r="H10" s="28" t="n">
        <x:v>0.0000190735</x:v>
      </x:c>
      <x:c r="I10" s="26" t="n">
        <x:v>53</x:v>
      </x:c>
      <x:c r="J10" s="30" t="n">
        <x:v>1.86</x:v>
      </x:c>
      <x:c r="K10" s="30" t="n">
        <x:v>108.125</x:v>
      </x:c>
      <x:c r="L10" s="30" t="n">
        <x:v>121.87577819824219</x:v>
      </x:c>
      <x:c r="M10" s="26" t="str">
        <x:v>Yes</x:v>
      </x:c>
      <x:c r="N10" s="26" t="str">
        <x:v>今天下午3點,請提醒我在 Slack 給 Amy 發送 Note Type 項目進度新的 Turbo 模型應該更快,也要保持中文和 English Terms 的準確性</x:v>
      </x:c>
    </x:row>
    <x:row r="11" ht="31" customHeight="1">
      <x:c r="A11" s="26" t="n">
        <x:v>3</x:v>
      </x:c>
      <x:c r="B11" s="26" t="n">
        <x:v>2</x:v>
      </x:c>
      <x:c r="C11" s="26" t="str">
        <x:v>Turbo</x:v>
      </x:c>
      <x:c r="D11" s="28" t="n">
        <x:v>1.3637939692</x:v>
      </x:c>
      <x:c r="E11" s="28" t="n">
        <x:v>0.8362659216</x:v>
      </x:c>
      <x:c r="F11" s="28" t="n">
        <x:v>0.830927968</x:v>
      </x:c>
      <x:c r="G11" s="28" t="n">
        <x:v>0.3367509842</x:v>
      </x:c>
      <x:c r="H11" s="28" t="n">
        <x:v>0.0009360313</x:v>
      </x:c>
      <x:c r="I11" s="26" t="n">
        <x:v>49</x:v>
      </x:c>
      <x:c r="J11" s="30" t="n">
        <x:v>2.26</x:v>
      </x:c>
      <x:c r="K11" s="30" t="n">
        <x:v>212.15625</x:v>
      </x:c>
      <x:c r="L11" s="30" t="n">
        <x:v>138.81339263916016</x:v>
      </x:c>
      <x:c r="M11" s="26" t="str">
        <x:v>Yes</x:v>
      </x:c>
      <x:c r="N11" s="26" t="str">
        <x:v>今天下午三點請提醒我在Slack給Amy發送Note Type項目進度新的Turbo模型應該更快也要保持中文和English Terms的準確性</x:v>
      </x:c>
    </x:row>
    <x:row r="12" ht="31" customHeight="1">
      <x:c r="A12" s="26" t="n">
        <x:v>4</x:v>
      </x:c>
      <x:c r="B12" s="26" t="n">
        <x:v>1</x:v>
      </x:c>
      <x:c r="C12" s="26" t="str">
        <x:v>Turbo</x:v>
      </x:c>
      <x:c r="D12" s="28" t="n">
        <x:v>0.9730399847</x:v>
      </x:c>
      <x:c r="E12" s="28" t="n">
        <x:v>0.8344249725</x:v>
      </x:c>
      <x:c r="F12" s="28" t="n">
        <x:v>0.8289610147</x:v>
      </x:c>
      <x:c r="G12" s="28" t="n">
        <x:v>0.3359359503</x:v>
      </x:c>
      <x:c r="H12" s="28" t="n">
        <x:v>0.0009119511</x:v>
      </x:c>
      <x:c r="I12" s="26" t="n">
        <x:v>49</x:v>
      </x:c>
      <x:c r="J12" s="30" t="n">
        <x:v>1.86</x:v>
      </x:c>
      <x:c r="K12" s="30" t="n">
        <x:v>212.484375</x:v>
      </x:c>
      <x:c r="L12" s="30" t="n">
        <x:v>138.98522186279297</x:v>
      </x:c>
      <x:c r="M12" s="26" t="str">
        <x:v>Yes</x:v>
      </x:c>
      <x:c r="N12" s="26" t="str">
        <x:v>今天下午三點請提醒我在Slack給Amy發送Note Type項目進度新的Turbo模型應該更快也要保持中文和English Terms的準確性</x:v>
      </x:c>
    </x:row>
    <x:row r="13" ht="31" customHeight="1">
      <x:c r="A13" s="26" t="n">
        <x:v>4</x:v>
      </x:c>
      <x:c r="B13" s="26" t="n">
        <x:v>2</x:v>
      </x:c>
      <x:c r="C13" s="26" t="str">
        <x:v>Previous</x:v>
      </x:c>
      <x:c r="D13" s="28" t="n">
        <x:v>1.0031379461</x:v>
      </x:c>
      <x:c r="E13" s="28" t="n">
        <x:v>1.1880289316</x:v>
      </x:c>
      <x:c r="F13" s="28" t="n">
        <x:v>1.1814630032</x:v>
      </x:c>
      <x:c r="G13" s="28" t="n">
        <x:v>0.6171770096</x:v>
      </x:c>
      <x:c r="H13" s="28" t="n">
        <x:v>0.0000200272</x:v>
      </x:c>
      <x:c r="I13" s="26" t="n">
        <x:v>53</x:v>
      </x:c>
      <x:c r="J13" s="30" t="n">
        <x:v>2.26</x:v>
      </x:c>
      <x:c r="K13" s="30" t="n">
        <x:v>108.1875</x:v>
      </x:c>
      <x:c r="L13" s="30" t="n">
        <x:v>120.7976303100586</x:v>
      </x:c>
      <x:c r="M13" s="26" t="str">
        <x:v>Yes</x:v>
      </x:c>
      <x:c r="N13" s="26" t="str">
        <x:v>今天下午3點,請提醒我在 Slack 給 Amy 發送 Note Type 項目進度新的 Turbo 模型應該更快,也要保持中文和 English Terms 的準確性</x:v>
      </x:c>
    </x:row>
    <x:row r="14" ht="31" customHeight="1">
      <x:c r="A14" s="26" t="n">
        <x:v>5</x:v>
      </x:c>
      <x:c r="B14" s="26" t="n">
        <x:v>1</x:v>
      </x:c>
      <x:c r="C14" s="26" t="str">
        <x:v>Previous</x:v>
      </x:c>
      <x:c r="D14" s="28" t="n">
        <x:v>0.5986930132</x:v>
      </x:c>
      <x:c r="E14" s="28" t="n">
        <x:v>1.1905560493</x:v>
      </x:c>
      <x:c r="F14" s="28" t="n">
        <x:v>1.1841580868</x:v>
      </x:c>
      <x:c r="G14" s="28" t="n">
        <x:v>0.6176689863</x:v>
      </x:c>
      <x:c r="H14" s="28" t="n">
        <x:v>0.0000180006</x:v>
      </x:c>
      <x:c r="I14" s="26" t="n">
        <x:v>53</x:v>
      </x:c>
      <x:c r="J14" s="30" t="n">
        <x:v>1.85</x:v>
      </x:c>
      <x:c r="K14" s="30" t="n">
        <x:v>112.109375</x:v>
      </x:c>
      <x:c r="L14" s="30" t="n">
        <x:v>124.6726303100586</x:v>
      </x:c>
      <x:c r="M14" s="26" t="str">
        <x:v>Yes</x:v>
      </x:c>
      <x:c r="N14" s="26" t="str">
        <x:v>今天下午3點,請提醒我在 Slack 給 Amy 發送 Note Type 項目進度新的 Turbo 模型應該更快,也要保持中文和 English Terms 的準確性</x:v>
      </x:c>
    </x:row>
    <x:row r="15" ht="31" customHeight="1">
      <x:c r="A15" s="26" t="n">
        <x:v>5</x:v>
      </x:c>
      <x:c r="B15" s="26" t="n">
        <x:v>2</x:v>
      </x:c>
      <x:c r="C15" s="26" t="str">
        <x:v>Turbo</x:v>
      </x:c>
      <x:c r="D15" s="28" t="n">
        <x:v>1.7466260195</x:v>
      </x:c>
      <x:c r="E15" s="28" t="n">
        <x:v>0.8388320208</x:v>
      </x:c>
      <x:c r="F15" s="28" t="n">
        <x:v>0.8334050179</x:v>
      </x:c>
      <x:c r="G15" s="28" t="n">
        <x:v>0.336887002</x:v>
      </x:c>
      <x:c r="H15" s="28" t="n">
        <x:v>0.0009690523</x:v>
      </x:c>
      <x:c r="I15" s="26" t="n">
        <x:v>49</x:v>
      </x:c>
      <x:c r="J15" s="30" t="n">
        <x:v>2.65</x:v>
      </x:c>
      <x:c r="K15" s="30" t="n">
        <x:v>212.421875</x:v>
      </x:c>
      <x:c r="L15" s="30" t="n">
        <x:v>138.98519897460938</x:v>
      </x:c>
      <x:c r="M15" s="26" t="str">
        <x:v>Yes</x:v>
      </x:c>
      <x:c r="N15" s="26" t="str">
        <x:v>今天下午三點請提醒我在Slack給Amy發送Note Type項目進度新的Turbo模型應該更快也要保持中文和English Terms的準確性</x:v>
      </x:c>
    </x:row>
    <x:row r="16" ht="31" customHeight="1">
      <x:c r="A16" s="26" t="n">
        <x:v>6</x:v>
      </x:c>
      <x:c r="B16" s="26" t="n">
        <x:v>1</x:v>
      </x:c>
      <x:c r="C16" s="26" t="str">
        <x:v>Turbo</x:v>
      </x:c>
      <x:c r="D16" s="28" t="n">
        <x:v>0.9279159307</x:v>
      </x:c>
      <x:c r="E16" s="28" t="n">
        <x:v>0.8328559399</x:v>
      </x:c>
      <x:c r="F16" s="28" t="n">
        <x:v>0.8275389671</x:v>
      </x:c>
      <x:c r="G16" s="28" t="n">
        <x:v>0.3365290165</x:v>
      </x:c>
      <x:c r="H16" s="28" t="n">
        <x:v>0.0009269714</x:v>
      </x:c>
      <x:c r="I16" s="26" t="n">
        <x:v>49</x:v>
      </x:c>
      <x:c r="J16" s="30" t="n">
        <x:v>1.82</x:v>
      </x:c>
      <x:c r="K16" s="30" t="n">
        <x:v>212.3125</x:v>
      </x:c>
      <x:c r="L16" s="30" t="n">
        <x:v>138.95399475097656</x:v>
      </x:c>
      <x:c r="M16" s="26" t="str">
        <x:v>Yes</x:v>
      </x:c>
      <x:c r="N16" s="26" t="str">
        <x:v>今天下午三點請提醒我在Slack給Amy發送Note Type項目進度新的Turbo模型應該更快也要保持中文和English Terms的準確性</x:v>
      </x:c>
    </x:row>
    <x:row r="17" ht="31" customHeight="1">
      <x:c r="A17" s="26" t="n">
        <x:v>6</x:v>
      </x:c>
      <x:c r="B17" s="26" t="n">
        <x:v>2</x:v>
      </x:c>
      <x:c r="C17" s="26" t="str">
        <x:v>Previous</x:v>
      </x:c>
      <x:c r="D17" s="28" t="n">
        <x:v>1.017572999</x:v>
      </x:c>
      <x:c r="E17" s="28" t="n">
        <x:v>1.1996700764</x:v>
      </x:c>
      <x:c r="F17" s="28" t="n">
        <x:v>1.1932489872</x:v>
      </x:c>
      <x:c r="G17" s="28" t="n">
        <x:v>0.6265599728</x:v>
      </x:c>
      <x:c r="H17" s="28" t="n">
        <x:v>0.0000170469</x:v>
      </x:c>
      <x:c r="I17" s="26" t="n">
        <x:v>53</x:v>
      </x:c>
      <x:c r="J17" s="30" t="n">
        <x:v>2.28</x:v>
      </x:c>
      <x:c r="K17" s="30" t="n">
        <x:v>108.296875</x:v>
      </x:c>
      <x:c r="L17" s="30" t="n">
        <x:v>122.07894897460938</x:v>
      </x:c>
      <x:c r="M17" s="26" t="str">
        <x:v>Yes</x:v>
      </x:c>
      <x:c r="N17" s="26" t="str">
        <x:v>今天下午3點,請提醒我在 Slack 給 Amy 發送 Note Type 項目進度新的 Turbo 模型應該更快,也要保持中文和 English Terms 的準確性</x:v>
      </x:c>
    </x:row>
    <x:row r="18" ht="31" customHeight="1">
      <x:c r="A18" s="26" t="n">
        <x:v>7</x:v>
      </x:c>
      <x:c r="B18" s="26" t="n">
        <x:v>1</x:v>
      </x:c>
      <x:c r="C18" s="26" t="str">
        <x:v>Previous</x:v>
      </x:c>
      <x:c r="D18" s="28" t="n">
        <x:v>0.6003609896</x:v>
      </x:c>
      <x:c r="E18" s="28" t="n">
        <x:v>1.1852599382</x:v>
      </x:c>
      <x:c r="F18" s="28" t="n">
        <x:v>1.178876996</x:v>
      </x:c>
      <x:c r="G18" s="28" t="n">
        <x:v>0.6213890314</x:v>
      </x:c>
      <x:c r="H18" s="28" t="n">
        <x:v>0.0000189543</x:v>
      </x:c>
      <x:c r="I18" s="26" t="n">
        <x:v>53</x:v>
      </x:c>
      <x:c r="J18" s="30" t="n">
        <x:v>1.85</x:v>
      </x:c>
      <x:c r="K18" s="30" t="n">
        <x:v>112.21875</x:v>
      </x:c>
      <x:c r="L18" s="30" t="n">
        <x:v>124.84455108642578</x:v>
      </x:c>
      <x:c r="M18" s="26" t="str">
        <x:v>Yes</x:v>
      </x:c>
      <x:c r="N18" s="26" t="str">
        <x:v>今天下午3點,請提醒我在 Slack 給 Amy 發送 Note Type 項目進度新的 Turbo 模型應該更快,也要保持中文和 English Terms 的準確性</x:v>
      </x:c>
    </x:row>
    <x:row r="19" ht="31" customHeight="1">
      <x:c r="A19" s="26" t="n">
        <x:v>7</x:v>
      </x:c>
      <x:c r="B19" s="26" t="n">
        <x:v>2</x:v>
      </x:c>
      <x:c r="C19" s="26" t="str">
        <x:v>Turbo</x:v>
      </x:c>
      <x:c r="D19" s="28" t="n">
        <x:v>1.7360240221</x:v>
      </x:c>
      <x:c r="E19" s="28" t="n">
        <x:v>0.8336750269</x:v>
      </x:c>
      <x:c r="F19" s="28" t="n">
        <x:v>0.8284050226</x:v>
      </x:c>
      <x:c r="G19" s="28" t="n">
        <x:v>0.335840106</x:v>
      </x:c>
      <x:c r="H19" s="28" t="n">
        <x:v>0.000944972</x:v>
      </x:c>
      <x:c r="I19" s="26" t="n">
        <x:v>49</x:v>
      </x:c>
      <x:c r="J19" s="30" t="n">
        <x:v>2.63</x:v>
      </x:c>
      <x:c r="K19" s="30" t="n">
        <x:v>212.34375</x:v>
      </x:c>
      <x:c r="L19" s="30" t="n">
        <x:v>138.98524475097656</x:v>
      </x:c>
      <x:c r="M19" s="26" t="str">
        <x:v>Yes</x:v>
      </x:c>
      <x:c r="N19" s="26" t="str">
        <x:v>今天下午三點請提醒我在Slack給Amy發送Note Type項目進度新的Turbo模型應該更快也要保持中文和English Terms的準確性</x:v>
      </x:c>
    </x:row>
    <x:row r="23" ht="28" customHeight="1">
      <x:c r="A23" s="17" t="str">
        <x:v>Model</x:v>
      </x:c>
      <x:c r="B23" s="18" t="str">
        <x:v>Runs</x:v>
      </x:c>
      <x:c r="C23" s="18" t="str">
        <x:v>Success rate</x:v>
      </x:c>
      <x:c r="D23" s="18" t="str">
        <x:v>Median pipeline (s)</x:v>
      </x:c>
      <x:c r="E23" s="18" t="str">
        <x:v>Median encoding (s)</x:v>
      </x:c>
      <x:c r="F23" s="18" t="str">
        <x:v>Median decode loops</x:v>
      </x:c>
      <x:c r="G23" s="18" t="str">
        <x:v>Audio speed factor</x:v>
      </x:c>
      <x:c r="H23" s="18" t="str">
        <x:v>Median max RSS (MiB)</x:v>
      </x:c>
      <x:c r="I23" s="18" t="str">
        <x:v>Median footprint (MiB)</x:v>
      </x:c>
      <x:c r="J23" s="19" t="str">
        <x:v>Median model load (s)</x:v>
      </x:c>
    </x:row>
    <x:row r="24">
      <x:c r="A24" s="25" t="str">
        <x:v>Previous</x:v>
      </x:c>
      <x:c r="B24" s="25" t="n">
        <x:f>COUNTIF($C$6:$C$19,A24)</x:f>
        <x:v>7</x:v>
      </x:c>
      <x:c r="C24" s="31" t="n">
        <x:f>COUNTIFS($C$6:$C$19,A24,$M$6:$M$19,"Yes")/B24</x:f>
        <x:v>1</x:v>
      </x:c>
      <x:c r="D24" s="27" t="n">
        <x:f>MEDIAN(E6,E9,E10,E13,E14,E17,E18)</x:f>
        <x:v>1.1880289316</x:v>
      </x:c>
      <x:c r="E24" s="27" t="n">
        <x:f>MEDIAN(G6,G9,G10,G13,G14,G17,G18)</x:f>
        <x:v>0.6179689169</x:v>
      </x:c>
      <x:c r="F24" s="25" t="n">
        <x:f>MEDIAN(I6,I9,I10,I13,I14,I17,I18)</x:f>
        <x:v>53</x:v>
      </x:c>
      <x:c r="G24" s="29" t="n">
        <x:f>$B$3/D24</x:f>
        <x:v>10.460866877427483</x:v>
      </x:c>
      <x:c r="H24" s="29" t="n">
        <x:f>MEDIAN(K6,K9,K10,K13,K14,K17,K18)</x:f>
        <x:v>108.296875</x:v>
      </x:c>
      <x:c r="I24" s="29" t="n">
        <x:f>MEDIAN(L6,L9,L10,L13,L14,L17,L18)</x:f>
        <x:v>121.87577819824219</x:v>
      </x:c>
      <x:c r="J24" s="29" t="n">
        <x:f>MEDIAN(D6,D9,D10,D13,D14,D17,D18)</x:f>
        <x:v>1.0031379461</x:v>
      </x:c>
    </x:row>
    <x:row r="25">
      <x:c r="A25" s="26" t="str">
        <x:v>Turbo</x:v>
      </x:c>
      <x:c r="B25" s="26" t="n">
        <x:f>COUNTIF($C$6:$C$19,A25)</x:f>
        <x:v>7</x:v>
      </x:c>
      <x:c r="C25" s="32" t="n">
        <x:f>COUNTIFS($C$6:$C$19,A25,$M$6:$M$19,"Yes")/B25</x:f>
        <x:v>1</x:v>
      </x:c>
      <x:c r="D25" s="28" t="n">
        <x:f>MEDIAN(E7,E8,E11,E12,E15,E16,E19)</x:f>
        <x:v>0.8344249725</x:v>
      </x:c>
      <x:c r="E25" s="28" t="n">
        <x:f>MEDIAN(G7,G8,G11,G12,G15,G16,G19)</x:f>
        <x:v>0.3365290165</x:v>
      </x:c>
      <x:c r="F25" s="26" t="n">
        <x:f>MEDIAN(I7,I8,I11,I12,I15,I16,I19)</x:f>
        <x:v>49</x:v>
      </x:c>
      <x:c r="G25" s="30" t="n">
        <x:f>$B$3/D25</x:f>
        <x:v>14.893864528964585</x:v>
      </x:c>
      <x:c r="H25" s="30" t="n">
        <x:f>MEDIAN(K7,K8,K11,K12,K15,K16,K19)</x:f>
        <x:v>212.328125</x:v>
      </x:c>
      <x:c r="I25" s="30" t="n">
        <x:f>MEDIAN(L7,L8,L11,L12,L15,L16,L19)</x:f>
        <x:v>138.95399475097656</x:v>
      </x:c>
      <x:c r="J25" s="30" t="n">
        <x:f>MEDIAN(D7,D8,D11,D12,D15,D16,D19)</x:f>
        <x:v>1.3637939692</x:v>
      </x:c>
    </x:row>
    <x:row r="27">
      <x:c r="A27" s="34" t="str">
        <x:v>Turbo vs previous</x:v>
      </x:c>
      <x:c r="B27" s="35" t="n">
        <x:f>1-D25/D24</x:f>
        <x:v>0.29763918175273496</x:v>
      </x:c>
      <x:c r="C27" s="35" t="n">
        <x:f>1-E25/E24</x:f>
        <x:v>0.4554272758763087</x:v>
      </x:c>
      <x:c r="D27" s="35" t="n">
        <x:f>G25/G24-1</x:f>
        <x:v>0.4237696266934292</x:v>
      </x:c>
      <x:c r="E27" s="35" t="n">
        <x:f>I25/I24-1</x:f>
        <x:v>0.14012806158213875</x:v>
      </x:c>
      <x:c r="F27" s="35" t="n">
        <x:f>H25/H24-1</x:f>
        <x:v>0.9606117443370366</x:v>
      </x:c>
    </x:row>
    <x:row r="28">
      <x:c r="A28" s="37" t="str"/>
      <x:c r="B28" s="37" t="str">
        <x:v>Pipeline time reduction</x:v>
      </x:c>
      <x:c r="C28" s="37" t="str">
        <x:v>Encoding time reduction</x:v>
      </x:c>
      <x:c r="D28" s="37" t="str">
        <x:v>Speed-factor gain</x:v>
      </x:c>
      <x:c r="E28" s="37" t="str">
        <x:v>Footprint change</x:v>
      </x:c>
      <x:c r="F28" s="37" t="str">
        <x:v>Max-RSS change</x:v>
      </x:c>
    </x:row>
  </x:sheetData>
  <x:mergeCells>
    <x:mergeCell ref="A1:N1"/>
    <x:mergeCell ref="A2:N2"/>
    <x:mergeCell ref="D3:N3"/>
  </x:mergeCells>
  <x:conditionalFormatting sqref="M6:M19">
    <x:cfRule type="containsText" dxfId="0" priority="1" operator="containsText" text="Yes"/>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44" hidden="0" customWidth="1"/>
    <x:col min="3" max="3" width="44" hidden="0" customWidth="1"/>
    <x:col min="4" max="4" width="34" hidden="0" customWidth="1"/>
    <x:col min="5" max="5" width="17" hidden="0" customWidth="1"/>
    <x:col min="6" max="6" width="17" hidden="0" customWidth="1"/>
    <x:col min="7" max="7" width="17"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s>
  <x:sheetData>
    <x:row r="1" ht="34" customHeight="1">
      <x:c r="A1" s="3" t="str">
        <x:v>Reliability and Transcript Fidelity</x:v>
      </x:c>
      <x:c r="B1" s="3" t="str">
        <x:v>Reliability and Transcript Fidelity</x:v>
      </x:c>
      <x:c r="C1" s="3" t="str">
        <x:v>Reliability and Transcript Fidelity</x:v>
      </x:c>
      <x:c r="D1" s="3" t="str">
        <x:v>Reliability and Transcript Fidelity</x:v>
      </x:c>
      <x:c r="E1" s="3" t="str">
        <x:v>Reliability and Transcript Fidelity</x:v>
      </x:c>
      <x:c r="F1" s="3" t="str">
        <x:v>Reliability and Transcript Fidelity</x:v>
      </x:c>
      <x:c r="G1" s="3" t="str">
        <x:v>Reliability and Transcript Fidelity</x:v>
      </x:c>
      <x:c r="H1" s="3" t="str">
        <x:v>Reliability and Transcript Fidelity</x:v>
      </x:c>
      <x:c r="I1" s="3" t="str">
        <x:v>Reliability and Transcript Fidelity</x:v>
      </x:c>
      <x:c r="J1" s="3" t="str">
        <x:v>Reliability and Transcript Fidelity</x:v>
      </x:c>
      <x:c r="K1" s="3" t="str">
        <x:v>Reliability and Transcript Fidelity</x:v>
      </x:c>
      <x:c r="L1" s="3" t="str">
        <x:v>Reliability and Transcript Fidelity</x:v>
      </x:c>
      <x:c r="M1" s="3" t="str">
        <x:v>Reliability and Transcript Fidelity</x:v>
      </x:c>
    </x:row>
    <x:row r="2" ht="28" customHeight="1">
      <x:c r="A2" s="6" t="str">
        <x:v>Operational success and character error rate are separate: a non-empty transcript can still contain recognition errors.</x:v>
      </x:c>
      <x:c r="B2" s="6" t="str">
        <x:v>Operational success and character error rate are separate: a non-empty transcript can still contain recognition errors.</x:v>
      </x:c>
      <x:c r="C2" s="6" t="str">
        <x:v>Operational success and character error rate are separate: a non-empty transcript can still contain recognition errors.</x:v>
      </x:c>
      <x:c r="D2" s="6" t="str">
        <x:v>Operational success and character error rate are separate: a non-empty transcript can still contain recognition errors.</x:v>
      </x:c>
      <x:c r="E2" s="6" t="str">
        <x:v>Operational success and character error rate are separate: a non-empty transcript can still contain recognition errors.</x:v>
      </x:c>
      <x:c r="F2" s="6" t="str">
        <x:v>Operational success and character error rate are separate: a non-empty transcript can still contain recognition errors.</x:v>
      </x:c>
      <x:c r="G2" s="6" t="str">
        <x:v>Operational success and character error rate are separate: a non-empty transcript can still contain recognition errors.</x:v>
      </x:c>
      <x:c r="H2" s="6" t="str">
        <x:v>Operational success and character error rate are separate: a non-empty transcript can still contain recognition errors.</x:v>
      </x:c>
      <x:c r="I2" s="6" t="str">
        <x:v>Operational success and character error rate are separate: a non-empty transcript can still contain recognition errors.</x:v>
      </x:c>
      <x:c r="J2" s="6" t="str">
        <x:v>Operational success and character error rate are separate: a non-empty transcript can still contain recognition errors.</x:v>
      </x:c>
      <x:c r="K2" s="6" t="str">
        <x:v>Operational success and character error rate are separate: a non-empty transcript can still contain recognition errors.</x:v>
      </x:c>
      <x:c r="L2" s="6" t="str">
        <x:v>Operational success and character error rate are separate: a non-empty transcript can still contain recognition errors.</x:v>
      </x:c>
      <x:c r="M2" s="6" t="str">
        <x:v>Operational success and character error rate are separate: a non-empty transcript can still contain recognition errors.</x:v>
      </x:c>
    </x:row>
    <x:row r="4" ht="28" customHeight="1">
      <x:c r="A4" s="17" t="str">
        <x:v>Model</x:v>
      </x:c>
      <x:c r="B4" s="18" t="str">
        <x:v>Runs</x:v>
      </x:c>
      <x:c r="C4" s="18" t="str">
        <x:v>Successful</x:v>
      </x:c>
      <x:c r="D4" s="18" t="str">
        <x:v>Operational success</x:v>
      </x:c>
      <x:c r="E4" s="18" t="str">
        <x:v>Edit distance</x:v>
      </x:c>
      <x:c r="F4" s="18" t="str">
        <x:v>Normalized CER</x:v>
      </x:c>
      <x:c r="G4" s="19" t="str">
        <x:v>Output stable across runs</x:v>
      </x:c>
    </x:row>
    <x:row r="5">
      <x:c r="A5" s="25" t="str">
        <x:v>Previous</x:v>
      </x:c>
      <x:c r="B5" s="25" t="n">
        <x:f>'Performance A-B'!B24</x:f>
        <x:v>7</x:v>
      </x:c>
      <x:c r="C5" s="25" t="n">
        <x:f>'Performance A-B'!B24*'Performance A-B'!C24</x:f>
        <x:v>7</x:v>
      </x:c>
      <x:c r="D5" s="31" t="n">
        <x:f>C5/B5</x:f>
        <x:v>1</x:v>
      </x:c>
      <x:c r="E5" s="38" t="n">
        <x:v>3</x:v>
      </x:c>
      <x:c r="F5" s="31" t="n">
        <x:f>E5/68</x:f>
        <x:v>0.04411764705882353</x:v>
      </x:c>
      <x:c r="G5" s="25" t="str">
        <x:v>Yes — identical 7/7</x:v>
      </x:c>
    </x:row>
    <x:row r="6">
      <x:c r="A6" s="26" t="str">
        <x:v>Turbo</x:v>
      </x:c>
      <x:c r="B6" s="26" t="n">
        <x:f>'Performance A-B'!B25</x:f>
        <x:v>7</x:v>
      </x:c>
      <x:c r="C6" s="26" t="n">
        <x:f>'Performance A-B'!B25*'Performance A-B'!C25</x:f>
        <x:v>7</x:v>
      </x:c>
      <x:c r="D6" s="32" t="n">
        <x:f>C6/B6</x:f>
        <x:v>1</x:v>
      </x:c>
      <x:c r="E6" s="39" t="n">
        <x:v>2</x:v>
      </x:c>
      <x:c r="F6" s="32" t="n">
        <x:f>E6/68</x:f>
        <x:v>0.029411764705882353</x:v>
      </x:c>
      <x:c r="G6" s="26" t="str">
        <x:v>Yes — identical 7/7</x:v>
      </x:c>
    </x:row>
    <x:row r="9" ht="23" customHeight="1">
      <x:c r="A9" s="42" t="str">
        <x:v>Reference and observed output</x:v>
      </x:c>
      <x:c r="B9" s="42" t="str">
        <x:v>Reference and observed output</x:v>
      </x:c>
      <x:c r="C9" s="42" t="str">
        <x:v>Reference and observed output</x:v>
      </x:c>
      <x:c r="D9" s="42" t="str">
        <x:v>Reference and observed output</x:v>
      </x:c>
      <x:c r="E9" s="42" t="str">
        <x:v>Reference and observed output</x:v>
      </x:c>
      <x:c r="F9" s="42" t="str">
        <x:v>Reference and observed output</x:v>
      </x:c>
      <x:c r="G9" s="42" t="str">
        <x:v>Reference and observed output</x:v>
      </x:c>
      <x:c r="H9" s="42" t="str">
        <x:v>Reference and observed output</x:v>
      </x:c>
      <x:c r="I9" s="42" t="str">
        <x:v>Reference and observed output</x:v>
      </x:c>
      <x:c r="J9" s="42" t="str">
        <x:v>Reference and observed output</x:v>
      </x:c>
      <x:c r="K9" s="42" t="str">
        <x:v>Reference and observed output</x:v>
      </x:c>
      <x:c r="L9" s="42" t="str">
        <x:v>Reference and observed output</x:v>
      </x:c>
      <x:c r="M9" s="42" t="str">
        <x:v>Reference and observed output</x:v>
      </x:c>
    </x:row>
    <x:row r="10" ht="28" customHeight="1">
      <x:c r="A10" s="17" t="str">
        <x:v>Source</x:v>
      </x:c>
      <x:c r="B10" s="18" t="str">
        <x:v>Original text</x:v>
      </x:c>
      <x:c r="C10" s="18" t="str">
        <x:v>Normalized text</x:v>
      </x:c>
      <x:c r="D10" s="19" t="str">
        <x:v>Notes</x:v>
      </x:c>
      <x:c r="F10" s="17" t="str">
        <x:v>Model</x:v>
      </x:c>
      <x:c r="G10" s="19" t="str">
        <x:v>Normalized CER</x:v>
      </x:c>
    </x:row>
    <x:row r="11" ht="66" customHeight="1">
      <x:c r="A11" s="25" t="str">
        <x:v>Reference</x:v>
      </x:c>
      <x:c r="B11" s="25" t="str">
        <x:v>今天下午三点，请提醒我在 Slack 给 Amy 发送 NoType 项目进度。新的 Turbo 模型应该更快，也要保持中文和 English terms 的准确性。</x:v>
      </x:c>
      <x:c r="C11" s="25" t="str">
        <x:v>今天下午三点请提醒我在slack给amy发送notype项目进度新的turbo模型应该更快也要保持中文和englishterms的准确性</x:v>
      </x:c>
      <x:c r="D11" s="25" t="str">
        <x:v>Known text used to synthesize the 12.43 s fixture</x:v>
      </x:c>
      <x:c r="F11" s="25" t="str">
        <x:f>A5</x:f>
        <x:v>Previous</x:v>
      </x:c>
      <x:c r="G11" s="31" t="n">
        <x:f>F5</x:f>
        <x:v>0.04411764705882353</x:v>
      </x:c>
    </x:row>
    <x:row r="12" ht="66" customHeight="1">
      <x:c r="A12" s="26" t="str">
        <x:v>Previous</x:v>
      </x:c>
      <x:c r="B12" s="26" t="str">
        <x:v>今天下午3點,請提醒我在 Slack 給 Amy 發送 Note Type 項目進度新的 Turbo 模型應該更快,也要保持中文和 English Terms 的準確性</x:v>
      </x:c>
      <x:c r="C12" s="26" t="str">
        <x:v>今天下午3点请提醒我在slack给amy发送notetype项目进度新的turbo模型应该更快也要保持中文和englishterms的准确性</x:v>
      </x:c>
      <x:c r="D12" s="26" t="str">
        <x:v>Errors after normalization: 三→3 and NoType→Note Type</x:v>
      </x:c>
      <x:c r="F12" s="26" t="str">
        <x:f>A6</x:f>
        <x:v>Turbo</x:v>
      </x:c>
      <x:c r="G12" s="32" t="n">
        <x:f>F6</x:f>
        <x:v>0.029411764705882353</x:v>
      </x:c>
    </x:row>
    <x:row r="13" ht="66" customHeight="1">
      <x:c r="A13" s="26" t="str">
        <x:v>Turbo</x:v>
      </x:c>
      <x:c r="B13" s="26" t="str">
        <x:v>今天下午三點請提醒我在Slack給Amy發送Note Type項目進度新的Turbo模型應該更快也要保持中文和English Terms的準確性</x:v>
      </x:c>
      <x:c r="C13" s="26" t="str">
        <x:v>今天下午三点请提醒我在slack给amy发送notetype项目进度新的turbo模型应该更快也要保持中文和englishterms的准确性</x:v>
      </x:c>
      <x:c r="D13" s="26" t="str">
        <x:v>Error after normalization: NoType→Note Type</x:v>
      </x:c>
    </x:row>
    <x:row r="16" ht="23" customHeight="1">
      <x:c r="A16" s="42" t="str">
        <x:v>Interpretation limit</x:v>
      </x:c>
      <x:c r="B16" s="42" t="str">
        <x:v>Interpretation limit</x:v>
      </x:c>
      <x:c r="C16" s="42" t="str">
        <x:v>Interpretation limit</x:v>
      </x:c>
      <x:c r="D16" s="42" t="str">
        <x:v>Interpretation limit</x:v>
      </x:c>
    </x:row>
    <x:row r="17">
      <x:c r="A17" s="62"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c r="B17" s="63"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c r="C17" s="63"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c r="D17" s="64"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row>
    <x:row r="18">
      <x:c r="A18" s="65"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c r="B18" s="66"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c r="C18" s="66"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c r="D18" s="67"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row>
    <x:row r="19">
      <x:c r="A19" s="65"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c r="B19" s="66"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c r="C19" s="66"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c r="D19" s="67"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row>
    <x:row r="20">
      <x:c r="A20" s="68"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c r="B20" s="69"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c r="C20" s="69"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c r="D20" s="70" t="str">
        <x:v>This is one controlled synthetic mixed-language fixture, not a representative speech corpus. Both models completed 7/7 runs, Turbo reduced normalized CER from 4.4% to 2.9%, and both consistently heard “NoType” as “Note Type.” Use a larger human-recorded, accented, and noisy corpus before claiming a general accuracy advantage.</x:v>
      </x:c>
    </x:row>
  </x:sheetData>
  <x:mergeCells>
    <x:mergeCell ref="A1:M1"/>
    <x:mergeCell ref="A2:M2"/>
    <x:mergeCell ref="A9:M9"/>
    <x:mergeCell ref="A16:D16"/>
    <x:mergeCell ref="A17:D20"/>
  </x:mergeCells>
  <x:conditionalFormatting sqref="D5:D6">
    <x:cfRule type="cellIs" dxfId="1" priority="1" operator="equal">
      <x:formula>1</x:formula>
    </x:cfRule>
  </x:conditionalFormatting>
  <x:pageMargins left="0.7" right="0.7" top="0.75" bottom="0.75" header="0.3" footer="0.3"/>
  <x:drawing xmlns:r="http://schemas.openxmlformats.org/officeDocument/2006/relationships" r:id="Re1b7297cf98547b7"/>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18" hidden="0" customWidth="1"/>
    <x:col min="4" max="4" width="18" hidden="0" customWidth="1"/>
    <x:col min="5" max="5" width="18" hidden="0" customWidth="1"/>
    <x:col min="6" max="6" width="42" hidden="0" customWidth="1"/>
    <x:col min="7" max="7" width="3"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s>
  <x:sheetData>
    <x:row r="1" ht="34" customHeight="1">
      <x:c r="A1" s="3" t="str">
        <x:v>Memory and Compute Behavior</x:v>
      </x:c>
      <x:c r="B1" s="3" t="str">
        <x:v>Memory and Compute Behavior</x:v>
      </x:c>
      <x:c r="C1" s="3" t="str">
        <x:v>Memory and Compute Behavior</x:v>
      </x:c>
      <x:c r="D1" s="3" t="str">
        <x:v>Memory and Compute Behavior</x:v>
      </x:c>
      <x:c r="E1" s="3" t="str">
        <x:v>Memory and Compute Behavior</x:v>
      </x:c>
      <x:c r="F1" s="3" t="str">
        <x:v>Memory and Compute Behavior</x:v>
      </x:c>
      <x:c r="G1" s="3" t="str">
        <x:v>Memory and Compute Behavior</x:v>
      </x:c>
      <x:c r="H1" s="3" t="str">
        <x:v>Memory and Compute Behavior</x:v>
      </x:c>
      <x:c r="I1" s="3" t="str">
        <x:v>Memory and Compute Behavior</x:v>
      </x:c>
      <x:c r="J1" s="3" t="str">
        <x:v>Memory and Compute Behavior</x:v>
      </x:c>
      <x:c r="K1" s="3" t="str">
        <x:v>Memory and Compute Behavior</x:v>
      </x:c>
      <x:c r="L1" s="3" t="str">
        <x:v>Memory and Compute Behavior</x:v>
      </x:c>
      <x:c r="M1" s="3" t="str">
        <x:v>Memory and Compute Behavior</x:v>
      </x:c>
      <x:c r="N1" s="3" t="str">
        <x:v>Memory and Compute Behavior</x:v>
      </x:c>
      <x:c r="O1" s="3" t="str">
        <x:v>Memory and Compute Behavior</x:v>
      </x:c>
    </x:row>
    <x:row r="2" ht="28" customHeight="1">
      <x:c r="A2" s="6" t="str">
        <x:v>Warm benchmark-process peaks plus observed running-app idle samples. GPU/ANE allocation is system-managed and not exposed as a stable per-app number.</x:v>
      </x:c>
      <x:c r="B2" s="6" t="str">
        <x:v>Warm benchmark-process peaks plus observed running-app idle samples. GPU/ANE allocation is system-managed and not exposed as a stable per-app number.</x:v>
      </x:c>
      <x:c r="C2" s="6" t="str">
        <x:v>Warm benchmark-process peaks plus observed running-app idle samples. GPU/ANE allocation is system-managed and not exposed as a stable per-app number.</x:v>
      </x:c>
      <x:c r="D2" s="6" t="str">
        <x:v>Warm benchmark-process peaks plus observed running-app idle samples. GPU/ANE allocation is system-managed and not exposed as a stable per-app number.</x:v>
      </x:c>
      <x:c r="E2" s="6" t="str">
        <x:v>Warm benchmark-process peaks plus observed running-app idle samples. GPU/ANE allocation is system-managed and not exposed as a stable per-app number.</x:v>
      </x:c>
      <x:c r="F2" s="6" t="str">
        <x:v>Warm benchmark-process peaks plus observed running-app idle samples. GPU/ANE allocation is system-managed and not exposed as a stable per-app number.</x:v>
      </x:c>
      <x:c r="G2" s="6" t="str">
        <x:v>Warm benchmark-process peaks plus observed running-app idle samples. GPU/ANE allocation is system-managed and not exposed as a stable per-app number.</x:v>
      </x:c>
      <x:c r="H2" s="6" t="str">
        <x:v>Warm benchmark-process peaks plus observed running-app idle samples. GPU/ANE allocation is system-managed and not exposed as a stable per-app number.</x:v>
      </x:c>
      <x:c r="I2" s="6" t="str">
        <x:v>Warm benchmark-process peaks plus observed running-app idle samples. GPU/ANE allocation is system-managed and not exposed as a stable per-app number.</x:v>
      </x:c>
      <x:c r="J2" s="6" t="str">
        <x:v>Warm benchmark-process peaks plus observed running-app idle samples. GPU/ANE allocation is system-managed and not exposed as a stable per-app number.</x:v>
      </x:c>
      <x:c r="K2" s="6" t="str">
        <x:v>Warm benchmark-process peaks plus observed running-app idle samples. GPU/ANE allocation is system-managed and not exposed as a stable per-app number.</x:v>
      </x:c>
      <x:c r="L2" s="6" t="str">
        <x:v>Warm benchmark-process peaks plus observed running-app idle samples. GPU/ANE allocation is system-managed and not exposed as a stable per-app number.</x:v>
      </x:c>
      <x:c r="M2" s="6" t="str">
        <x:v>Warm benchmark-process peaks plus observed running-app idle samples. GPU/ANE allocation is system-managed and not exposed as a stable per-app number.</x:v>
      </x:c>
      <x:c r="N2" s="6" t="str">
        <x:v>Warm benchmark-process peaks plus observed running-app idle samples. GPU/ANE allocation is system-managed and not exposed as a stable per-app number.</x:v>
      </x:c>
      <x:c r="O2" s="6" t="str">
        <x:v>Warm benchmark-process peaks plus observed running-app idle samples. GPU/ANE allocation is system-managed and not exposed as a stable per-app number.</x:v>
      </x:c>
    </x:row>
    <x:row r="4" ht="28" customHeight="1">
      <x:c r="A4" s="17" t="str">
        <x:v>Model</x:v>
      </x:c>
      <x:c r="B4" s="18" t="str">
        <x:v>Median max RSS (MiB)</x:v>
      </x:c>
      <x:c r="C4" s="18" t="str">
        <x:v>Median footprint (MiB)</x:v>
      </x:c>
      <x:c r="D4" s="18" t="str">
        <x:v>Footprint vs previous</x:v>
      </x:c>
      <x:c r="E4" s="18" t="str">
        <x:v>Max RSS vs previous</x:v>
      </x:c>
      <x:c r="F4" s="19" t="str">
        <x:v>Compute routing</x:v>
      </x:c>
      <x:c r="H4" t="str">
        <x:v>Metric</x:v>
      </x:c>
      <x:c r="I4" t="str">
        <x:v>Previous</x:v>
      </x:c>
      <x:c r="J4" t="str">
        <x:v>Turbo</x:v>
      </x:c>
    </x:row>
    <x:row r="5">
      <x:c r="A5" s="25" t="str">
        <x:v>Previous</x:v>
      </x:c>
      <x:c r="B5" s="71" t="n">
        <x:f>'Performance A-B'!H24</x:f>
        <x:v>108.296875</x:v>
      </x:c>
      <x:c r="C5" s="71" t="n">
        <x:f>'Performance A-B'!I24</x:f>
        <x:v>121.87577819824219</x:v>
      </x:c>
      <x:c r="D5" s="31" t="n">
        <x:v>0</x:v>
      </x:c>
      <x:c r="E5" s="31" t="n">
        <x:v>0</x:v>
      </x:c>
      <x:c r="F5" s="25" t="str">
        <x:v>Mel CPU+GPU; Encoder/Decoder CPU+Neural Engine; Prefill CPU</x:v>
      </x:c>
      <x:c r="H5" t="str">
        <x:f>"Max RSS"</x:f>
        <x:v>Max RSS</x:v>
      </x:c>
      <x:c r="I5" t="n">
        <x:f>B5</x:f>
        <x:v>108.296875</x:v>
      </x:c>
      <x:c r="J5" t="n">
        <x:f>B6</x:f>
        <x:v>212.328125</x:v>
      </x:c>
    </x:row>
    <x:row r="6">
      <x:c r="A6" s="26" t="str">
        <x:v>Turbo</x:v>
      </x:c>
      <x:c r="B6" s="72" t="n">
        <x:f>'Performance A-B'!H25</x:f>
        <x:v>212.328125</x:v>
      </x:c>
      <x:c r="C6" s="72" t="n">
        <x:f>'Performance A-B'!I25</x:f>
        <x:v>138.95399475097656</x:v>
      </x:c>
      <x:c r="D6" s="32" t="n">
        <x:f>C6/C5-1</x:f>
        <x:v>0.14012806158213875</x:v>
      </x:c>
      <x:c r="E6" s="32" t="n">
        <x:f>B6/B5-1</x:f>
        <x:v>0.9606117443370366</x:v>
      </x:c>
      <x:c r="F6" s="26" t="str">
        <x:v>Mel CPU+GPU; Encoder/Decoder CPU+Neural Engine; Prefill CPU</x:v>
      </x:c>
      <x:c r="H6" t="str">
        <x:f>"Footprint"</x:f>
        <x:v>Footprint</x:v>
      </x:c>
      <x:c r="I6" t="n">
        <x:f>C5</x:f>
        <x:v>121.87577819824219</x:v>
      </x:c>
      <x:c r="J6" t="n">
        <x:f>C6</x:f>
        <x:v>138.95399475097656</x:v>
      </x:c>
    </x:row>
    <x:row r="10" ht="23" customHeight="1">
      <x:c r="A10" s="42" t="str">
        <x:v>Observed installed-app samples</x:v>
      </x:c>
      <x:c r="B10" s="42" t="str">
        <x:v>Observed installed-app samples</x:v>
      </x:c>
      <x:c r="C10" s="42" t="str">
        <x:v>Observed installed-app samples</x:v>
      </x:c>
      <x:c r="D10" s="42" t="str">
        <x:v>Observed installed-app samples</x:v>
      </x:c>
      <x:c r="E10" s="42" t="str">
        <x:v>Observed installed-app samples</x:v>
      </x:c>
      <x:c r="F10" s="42" t="str">
        <x:v>Observed installed-app samples</x:v>
      </x:c>
    </x:row>
    <x:row r="11" ht="28" customHeight="1">
      <x:c r="A11" s="17" t="str">
        <x:v>Moment</x:v>
      </x:c>
      <x:c r="B11" s="18" t="str">
        <x:v>CPU</x:v>
      </x:c>
      <x:c r="C11" s="18" t="str">
        <x:v>RSS (MiB)</x:v>
      </x:c>
      <x:c r="D11" s="18" t="str">
        <x:v>What it means</x:v>
      </x:c>
      <x:c r="E11" s="19" t="str">
        <x:v>Evidence</x:v>
      </x:c>
    </x:row>
    <x:row r="12">
      <x:c r="A12" s="25" t="str">
        <x:v>Shortly after Turbo became ready</x:v>
      </x:c>
      <x:c r="B12" s="31" t="n">
        <x:v>0</x:v>
      </x:c>
      <x:c r="C12" s="71" t="n">
        <x:v>238.25</x:v>
      </x:c>
      <x:c r="D12" s="25" t="str">
        <x:v>Model was resident soon after load</x:v>
      </x:c>
      <x:c r="E12" s="25" t="str">
        <x:v>ps sample from installed /Applications/NoType.app</x:v>
      </x:c>
    </x:row>
    <x:row r="13">
      <x:c r="A13" s="26" t="str">
        <x:v>Settled idle after ~16 min</x:v>
      </x:c>
      <x:c r="B13" s="32" t="n">
        <x:v>0</x:v>
      </x:c>
      <x:c r="C13" s="72" t="n">
        <x:v>64.03125</x:v>
      </x:c>
      <x:c r="D13" s="26" t="str">
        <x:v>Memory pressure reclaimed resident pages while the pipeline object stayed cached</x:v>
      </x:c>
      <x:c r="E13" s="26" t="str">
        <x:v>PID 49722, 2026-08-16</x:v>
      </x:c>
    </x:row>
    <x:row r="16" ht="23" customHeight="1">
      <x:c r="A16" s="42" t="str">
        <x:v>Practical impact</x:v>
      </x:c>
      <x:c r="B16" s="42" t="str">
        <x:v>Practical impact</x:v>
      </x:c>
      <x:c r="C16" s="42" t="str">
        <x:v>Practical impact</x:v>
      </x:c>
      <x:c r="D16" s="42" t="str">
        <x:v>Practical impact</x:v>
      </x:c>
      <x:c r="E16" s="42" t="str">
        <x:v>Practical impact</x:v>
      </x:c>
      <x:c r="F16" s="42" t="str">
        <x:v>Practical impact</x:v>
      </x:c>
    </x:row>
    <x:row r="17">
      <x:c r="A17" s="92"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B17" s="93"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C17" s="93"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D17" s="93"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E17" s="93"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F17" s="94"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row>
    <x:row r="18">
      <x:c r="A18" s="95"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B18" s="96"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C18" s="96"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D18" s="96"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E18" s="96"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F18" s="97"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row>
    <x:row r="19">
      <x:c r="A19" s="95"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B19" s="96"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C19" s="96"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D19" s="96"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E19" s="96"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F19" s="97"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row>
    <x:row r="20">
      <x:c r="A20" s="95"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B20" s="96"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C20" s="96"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D20" s="96"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E20" s="96"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F20" s="97"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row>
    <x:row r="21">
      <x:c r="A21" s="98"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B21" s="99"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C21" s="99"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D21" s="99"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E21" s="99"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c r="F21" s="100" t="str">
        <x:v>Turbo’s median benchmark memory footprint was about 14% higher; the rusage max-RSS metric was about 96% higher because the two compiled packages map and page memory differently. Footprint is closer to Activity Monitor’s memory-pressure view. Neither model consumes CPU while idle in the observed app sample. The app intentionally retains the WhisperKit pipeline for fast dictation, but macOS can reclaim resident pages; Neural Engine/GPU working memory is used during inference and is system-managed rather than permanently busy.</x:v>
      </x:c>
    </x:row>
  </x:sheetData>
  <x:mergeCells>
    <x:mergeCell ref="A1:O1"/>
    <x:mergeCell ref="A2:O2"/>
    <x:mergeCell ref="A10:F10"/>
    <x:mergeCell ref="A16:F16"/>
    <x:mergeCell ref="A17:F21"/>
  </x:mergeCells>
  <x:pageMargins left="0.7" right="0.7" top="0.75" bottom="0.75" header="0.3" footer="0.3"/>
  <x:drawing xmlns:r="http://schemas.openxmlformats.org/officeDocument/2006/relationships" r:id="Rd49643339c2b4476"/>
</x:worksheet>
</file>

<file path=xl/worksheets/sheet5.xml><?xml version="1.0" encoding="utf-8"?>
<x:worksheet xmlns:x="http://schemas.openxmlformats.org/spreadsheetml/2006/main">
  <x:sheetViews>
    <x:sheetView showGridLines="0" workbookViewId="0"/>
  </x:sheetViews>
  <x:sheetFormatPr defaultRowHeight="15"/>
  <x:cols>
    <x:col min="1" max="1" width="23" hidden="0" customWidth="1"/>
    <x:col min="2" max="2" width="48" hidden="0" customWidth="1"/>
    <x:col min="3" max="3" width="18" hidden="0" customWidth="1"/>
    <x:col min="4" max="4" width="15" hidden="0" customWidth="1"/>
    <x:col min="5" max="5" width="15" hidden="0" customWidth="1"/>
    <x:col min="6" max="6" width="15" hidden="0" customWidth="1"/>
    <x:col min="7" max="7" width="15" hidden="0" customWidth="1"/>
    <x:col min="8" max="8" width="18" hidden="0" customWidth="1"/>
    <x:col min="9" max="9" width="42" hidden="0" customWidth="1"/>
  </x:cols>
  <x:sheetData>
    <x:row r="1" ht="34" customHeight="1">
      <x:c r="A1" s="3" t="str">
        <x:v>Project Storage and Core ML Cache Audit</x:v>
      </x:c>
      <x:c r="B1" s="3" t="str">
        <x:v>Project Storage and Core ML Cache Audit</x:v>
      </x:c>
      <x:c r="C1" s="3" t="str">
        <x:v>Project Storage and Core ML Cache Audit</x:v>
      </x:c>
      <x:c r="D1" s="3" t="str">
        <x:v>Project Storage and Core ML Cache Audit</x:v>
      </x:c>
      <x:c r="E1" s="3" t="str">
        <x:v>Project Storage and Core ML Cache Audit</x:v>
      </x:c>
      <x:c r="F1" s="3" t="str">
        <x:v>Project Storage and Core ML Cache Audit</x:v>
      </x:c>
      <x:c r="G1" s="3" t="str">
        <x:v>Project Storage and Core ML Cache Audit</x:v>
      </x:c>
      <x:c r="H1" s="3" t="str">
        <x:v>Project Storage and Core ML Cache Audit</x:v>
      </x:c>
      <x:c r="I1" s="3" t="str">
        <x:v>Project Storage and Core ML Cache Audit</x:v>
      </x:c>
    </x:row>
    <x:row r="2" ht="28" customHeight="1">
      <x:c r="A2" s="6" t="str">
        <x:v>Measured with du -sk on 2026-08-16. Paths are non-overlapping where totals are shown. No optional model/app/build copies were deleted.</x:v>
      </x:c>
      <x:c r="B2" s="6" t="str">
        <x:v>Measured with du -sk on 2026-08-16. Paths are non-overlapping where totals are shown. No optional model/app/build copies were deleted.</x:v>
      </x:c>
      <x:c r="C2" s="6" t="str">
        <x:v>Measured with du -sk on 2026-08-16. Paths are non-overlapping where totals are shown. No optional model/app/build copies were deleted.</x:v>
      </x:c>
      <x:c r="D2" s="6" t="str">
        <x:v>Measured with du -sk on 2026-08-16. Paths are non-overlapping where totals are shown. No optional model/app/build copies were deleted.</x:v>
      </x:c>
      <x:c r="E2" s="6" t="str">
        <x:v>Measured with du -sk on 2026-08-16. Paths are non-overlapping where totals are shown. No optional model/app/build copies were deleted.</x:v>
      </x:c>
      <x:c r="F2" s="6" t="str">
        <x:v>Measured with du -sk on 2026-08-16. Paths are non-overlapping where totals are shown. No optional model/app/build copies were deleted.</x:v>
      </x:c>
      <x:c r="G2" s="6" t="str">
        <x:v>Measured with du -sk on 2026-08-16. Paths are non-overlapping where totals are shown. No optional model/app/build copies were deleted.</x:v>
      </x:c>
      <x:c r="H2" s="6" t="str">
        <x:v>Measured with du -sk on 2026-08-16. Paths are non-overlapping where totals are shown. No optional model/app/build copies were deleted.</x:v>
      </x:c>
      <x:c r="I2" s="6" t="str">
        <x:v>Measured with du -sk on 2026-08-16. Paths are non-overlapping where totals are shown. No optional model/app/build copies were deleted.</x:v>
      </x:c>
    </x:row>
    <x:row r="3">
      <x:c r="A3" s="113" t="str">
        <x:v>Core ML cache before</x:v>
      </x:c>
      <x:c r="B3" s="114" t="str">
        <x:v>Core ML cache before</x:v>
      </x:c>
      <x:c r="C3" s="115" t="str">
        <x:v>Core ML cache before</x:v>
      </x:c>
      <x:c r="D3" s="146" t="str">
        <x:v>Current valid cache</x:v>
      </x:c>
      <x:c r="E3" s="147" t="str">
        <x:v>Current valid cache</x:v>
      </x:c>
      <x:c r="F3" s="148" t="str">
        <x:v>Current valid cache</x:v>
      </x:c>
      <x:c r="G3" s="179" t="str">
        <x:v>Space released</x:v>
      </x:c>
      <x:c r="H3" s="180" t="str">
        <x:v>Space released</x:v>
      </x:c>
      <x:c r="I3" s="181" t="str">
        <x:v>Space released</x:v>
      </x:c>
    </x:row>
    <x:row r="4">
      <x:c r="A4" s="122" t="n">
        <x:f>6705436/1048576+561440/1048576</x:f>
        <x:v>6.930233001708984</x:v>
      </x:c>
      <x:c r="B4" s="123"/>
      <x:c r="C4" s="124"/>
      <x:c r="D4" s="155" t="n">
        <x:f>704712/1048576</x:f>
        <x:v>0.6720657348632812</x:v>
      </x:c>
      <x:c r="E4" s="156"/>
      <x:c r="F4" s="157"/>
      <x:c r="G4" s="188" t="n">
        <x:f>6705436/1048576</x:f>
        <x:v>6.394802093505859</x:v>
      </x:c>
      <x:c r="H4" s="189"/>
      <x:c r="I4" s="190"/>
    </x:row>
    <x:row r="5">
      <x:c r="A5" s="122"/>
      <x:c r="B5" s="123"/>
      <x:c r="C5" s="124"/>
      <x:c r="D5" s="155"/>
      <x:c r="E5" s="156"/>
      <x:c r="F5" s="157"/>
      <x:c r="G5" s="188"/>
      <x:c r="H5" s="189"/>
      <x:c r="I5" s="190"/>
    </x:row>
    <x:row r="6">
      <x:c r="A6" s="131" t="str">
        <x:v>Completed + seven stale temporary bundles</x:v>
      </x:c>
      <x:c r="B6" s="132" t="str">
        <x:v>Completed + seven stale temporary bundles</x:v>
      </x:c>
      <x:c r="C6" s="133" t="str">
        <x:v>Completed + seven stale temporary bundles</x:v>
      </x:c>
      <x:c r="D6" s="164" t="str">
        <x:v>40 completed bundles after installing this build</x:v>
      </x:c>
      <x:c r="E6" s="165" t="str">
        <x:v>40 completed bundles after installing this build</x:v>
      </x:c>
      <x:c r="F6" s="166" t="str">
        <x:v>40 completed bundles after installing this build</x:v>
      </x:c>
      <x:c r="G6" s="197" t="str">
        <x:v>Only .tmp.&lt;old PID&gt;.bundle directories</x:v>
      </x:c>
      <x:c r="H6" s="198" t="str">
        <x:v>Only .tmp.&lt;old PID&gt;.bundle directories</x:v>
      </x:c>
      <x:c r="I6" s="199" t="str">
        <x:v>Only .tmp.&lt;old PID&gt;.bundle directories</x:v>
      </x:c>
    </x:row>
    <x:row r="8" ht="28" customHeight="1">
      <x:c r="A8" s="17" t="str">
        <x:v>Category</x:v>
      </x:c>
      <x:c r="B8" s="18" t="str">
        <x:v>Path</x:v>
      </x:c>
      <x:c r="C8" s="18" t="str">
        <x:v>Disposition</x:v>
      </x:c>
      <x:c r="D8" s="18" t="str">
        <x:v>Before (KiB)</x:v>
      </x:c>
      <x:c r="E8" s="18" t="str">
        <x:v>After (KiB)</x:v>
      </x:c>
      <x:c r="F8" s="18" t="str">
        <x:v>Before (GiB)</x:v>
      </x:c>
      <x:c r="G8" s="18" t="str">
        <x:v>After (GiB)</x:v>
      </x:c>
      <x:c r="H8" s="18" t="str">
        <x:v>Modified / measured</x:v>
      </x:c>
      <x:c r="I8" s="19" t="str">
        <x:v>Recommendation</x:v>
      </x:c>
    </x:row>
    <x:row r="9">
      <x:c r="A9" s="25" t="str">
        <x:v>Installed app</x:v>
      </x:c>
      <x:c r="B9" s="25" t="str">
        <x:v>/Applications/NoType.app</x:v>
      </x:c>
      <x:c r="C9" s="25" t="str">
        <x:v>Keep</x:v>
      </x:c>
      <x:c r="D9" s="25" t="n">
        <x:v>1622496</x:v>
      </x:c>
      <x:c r="E9" s="25" t="n">
        <x:v>1622496</x:v>
      </x:c>
      <x:c r="F9" s="27" t="n">
        <x:f>D9/1048576</x:f>
        <x:v>1.547332763671875</x:v>
      </x:c>
      <x:c r="G9" s="27" t="n">
        <x:f>E9/1048576</x:f>
        <x:v>1.547332763671875</x:v>
      </x:c>
      <x:c r="H9" s="25" t="str">
        <x:v>2026-08-16</x:v>
      </x:c>
      <x:c r="I9" s="25" t="str">
        <x:v>Active app; contains the bundled Turbo model</x:v>
      </x:c>
    </x:row>
    <x:row r="10">
      <x:c r="A10" s="26" t="str">
        <x:v>Release app copy</x:v>
      </x:c>
      <x:c r="B10" s="26" t="str">
        <x:v>dist/NoType.app</x:v>
      </x:c>
      <x:c r="C10" s="26" t="str">
        <x:v>Rebuildable</x:v>
      </x:c>
      <x:c r="D10" s="26" t="n">
        <x:v>1632380</x:v>
      </x:c>
      <x:c r="E10" s="26" t="n">
        <x:v>1632380</x:v>
      </x:c>
      <x:c r="F10" s="28" t="n">
        <x:f>D10/1048576</x:f>
        <x:v>1.5567588806152344</x:v>
      </x:c>
      <x:c r="G10" s="28" t="n">
        <x:f>E10/1048576</x:f>
        <x:v>1.5567588806152344</x:v>
      </x:c>
      <x:c r="H10" s="26" t="str">
        <x:v>2026-08-16</x:v>
      </x:c>
      <x:c r="I10" s="26" t="str">
        <x:v>Keep for release verification or rebuild later</x:v>
      </x:c>
    </x:row>
    <x:row r="11">
      <x:c r="A11" s="26" t="str">
        <x:v>Release archive</x:v>
      </x:c>
      <x:c r="B11" s="26" t="str">
        <x:v>dist/NoType-0.3.0-arm64.zip</x:v>
      </x:c>
      <x:c r="C11" s="26" t="str">
        <x:v>Rebuildable</x:v>
      </x:c>
      <x:c r="D11" s="26" t="n">
        <x:v>1474648</x:v>
      </x:c>
      <x:c r="E11" s="26" t="n">
        <x:v>1474648</x:v>
      </x:c>
      <x:c r="F11" s="28" t="n">
        <x:f>D11/1048576</x:f>
        <x:v>1.4063339233398438</x:v>
      </x:c>
      <x:c r="G11" s="28" t="n">
        <x:f>E11/1048576</x:f>
        <x:v>1.4063339233398438</x:v>
      </x:c>
      <x:c r="H11" s="26" t="str">
        <x:v>2026-08-16</x:v>
      </x:c>
      <x:c r="I11" s="26" t="str">
        <x:v>Keep if distributing this exact build</x:v>
      </x:c>
    </x:row>
    <x:row r="12">
      <x:c r="A12" s="26" t="str">
        <x:v>Previous dev model</x:v>
      </x:c>
      <x:c r="B12" s="26" t="str">
        <x:v>…/openai_whisper-large-v3-v20240930</x:v>
      </x:c>
      <x:c r="C12" s="26" t="str">
        <x:v>Optional rollback</x:v>
      </x:c>
      <x:c r="D12" s="26" t="n">
        <x:v>1581632</x:v>
      </x:c>
      <x:c r="E12" s="26" t="n">
        <x:v>1581632</x:v>
      </x:c>
      <x:c r="F12" s="28" t="n">
        <x:f>D12/1048576</x:f>
        <x:v>1.50836181640625</x:v>
      </x:c>
      <x:c r="G12" s="28" t="n">
        <x:f>E12/1048576</x:f>
        <x:v>1.50836181640625</x:v>
      </x:c>
      <x:c r="H12" s="26" t="str">
        <x:v>2026-03-30</x:v>
      </x:c>
      <x:c r="I12" s="26" t="str">
        <x:v>Removable only after you no longer need rollback/A-B tests</x:v>
      </x:c>
    </x:row>
    <x:row r="13">
      <x:c r="A13" s="26" t="str">
        <x:v>Turbo dev model</x:v>
      </x:c>
      <x:c r="B13" s="26" t="str">
        <x:v>…/openai_whisper-large-v3-v20240930_turbo</x:v>
      </x:c>
      <x:c r="C13" s="26" t="str">
        <x:v>Keep</x:v>
      </x:c>
      <x:c r="D13" s="26" t="n">
        <x:v>1600124</x:v>
      </x:c>
      <x:c r="E13" s="26" t="n">
        <x:v>1600124</x:v>
      </x:c>
      <x:c r="F13" s="28" t="n">
        <x:f>D13/1048576</x:f>
        <x:v>1.5259971618652344</x:v>
      </x:c>
      <x:c r="G13" s="28" t="n">
        <x:f>E13/1048576</x:f>
        <x:v>1.5259971618652344</x:v>
      </x:c>
      <x:c r="H13" s="26" t="str">
        <x:v>2026-08-16</x:v>
      </x:c>
      <x:c r="I13" s="26" t="str">
        <x:v>Needed by unbundled developer builds</x:v>
      </x:c>
    </x:row>
    <x:row r="14">
      <x:c r="A14" s="26" t="str">
        <x:v>Tokenizer</x:v>
      </x:c>
      <x:c r="B14" s="26" t="str">
        <x:v>…/models/openai/whisper-large-v3</x:v>
      </x:c>
      <x:c r="C14" s="26" t="str">
        <x:v>Keep</x:v>
      </x:c>
      <x:c r="D14" s="26" t="n">
        <x:v>2720</x:v>
      </x:c>
      <x:c r="E14" s="26" t="n">
        <x:v>2720</x:v>
      </x:c>
      <x:c r="F14" s="28" t="n">
        <x:f>D14/1048576</x:f>
        <x:v>0.002593994140625</x:v>
      </x:c>
      <x:c r="G14" s="28" t="n">
        <x:f>E14/1048576</x:f>
        <x:v>0.002593994140625</x:v>
      </x:c>
      <x:c r="H14" s="26" t="str">
        <x:v>2026-03-30</x:v>
      </x:c>
      <x:c r="I14" s="26" t="str">
        <x:v>Small and required by developer runs</x:v>
      </x:c>
    </x:row>
    <x:row r="15">
      <x:c r="A15" s="26" t="str">
        <x:v>Completed app cache</x:v>
      </x:c>
      <x:c r="B15" s="26" t="str">
        <x:v>~/Library/Caches/local.yichenlin.noType</x:v>
      </x:c>
      <x:c r="C15" s="26" t="str">
        <x:v>System-managed</x:v>
      </x:c>
      <x:c r="D15" s="26" t="n">
        <x:v>561440</x:v>
      </x:c>
      <x:c r="E15" s="26" t="n">
        <x:v>704712</x:v>
      </x:c>
      <x:c r="F15" s="28" t="n">
        <x:f>D15/1048576</x:f>
        <x:v>0.535430908203125</x:v>
      </x:c>
      <x:c r="G15" s="28" t="n">
        <x:f>E15/1048576</x:f>
        <x:v>0.6720657348632812</x:v>
      </x:c>
      <x:c r="H15" s="26" t="str">
        <x:v>2026-08-16</x:v>
      </x:c>
      <x:c r="I15" s="26" t="str">
        <x:v>Preserve; the installed build added a new valid cache identity</x:v>
      </x:c>
    </x:row>
    <x:row r="16">
      <x:c r="A16" s="26" t="str">
        <x:v>Interrupted app cache</x:v>
      </x:c>
      <x:c r="B16" s="26" t="str">
        <x:v>7 × .tmp.&lt;old PID&gt;.bundle</x:v>
      </x:c>
      <x:c r="C16" s="26" t="str">
        <x:v>Removed</x:v>
      </x:c>
      <x:c r="D16" s="26" t="n">
        <x:v>6705436</x:v>
      </x:c>
      <x:c r="E16" s="26" t="n">
        <x:v>0</x:v>
      </x:c>
      <x:c r="F16" s="28" t="n">
        <x:f>D16/1048576</x:f>
        <x:v>6.394802093505859</x:v>
      </x:c>
      <x:c r="G16" s="28" t="n">
        <x:f>E16/1048576</x:f>
        <x:v>0</x:v>
      </x:c>
      <x:c r="H16" s="26" t="str">
        <x:v>2026-08-16</x:v>
      </x:c>
      <x:c r="I16" s="26" t="str">
        <x:v>Deleted after confirming all PIDs had exited</x:v>
      </x:c>
    </x:row>
    <x:row r="17">
      <x:c r="A17" s="26" t="str">
        <x:v>Benchmark CLI cache</x:v>
      </x:c>
      <x:c r="B17" s="26" t="str">
        <x:v>~/Library/Caches/whisperkit-cli</x:v>
      </x:c>
      <x:c r="C17" s="26" t="str">
        <x:v>Rebuildable</x:v>
      </x:c>
      <x:c r="D17" s="26" t="n">
        <x:v>274504</x:v>
      </x:c>
      <x:c r="E17" s="26" t="n">
        <x:v>274504</x:v>
      </x:c>
      <x:c r="F17" s="28" t="n">
        <x:f>D17/1048576</x:f>
        <x:v>0.26178741455078125</x:v>
      </x:c>
      <x:c r="G17" s="28" t="n">
        <x:f>E17/1048576</x:f>
        <x:v>0.26178741455078125</x:v>
      </x:c>
      <x:c r="H17" s="26" t="str">
        <x:v>2026-08-16</x:v>
      </x:c>
      <x:c r="I17" s="26" t="str">
        <x:v>Created/used by this benchmark; optional later cleanup</x:v>
      </x:c>
    </x:row>
    <x:row r="18">
      <x:c r="A18" s="26" t="str">
        <x:v>Historical cache</x:v>
      </x:c>
      <x:c r="B18" s="26" t="str">
        <x:v>~/Library/Caches/Typeless</x:v>
      </x:c>
      <x:c r="C18" s="26" t="str">
        <x:v>Optional cleanup</x:v>
      </x:c>
      <x:c r="D18" s="26" t="n">
        <x:v>137324</x:v>
      </x:c>
      <x:c r="E18" s="26" t="n">
        <x:v>137324</x:v>
      </x:c>
      <x:c r="F18" s="28" t="n">
        <x:f>D18/1048576</x:f>
        <x:v>0.13096237182617188</x:v>
      </x:c>
      <x:c r="G18" s="28" t="n">
        <x:f>E18/1048576</x:f>
        <x:v>0.13096237182617188</x:v>
      </x:c>
      <x:c r="H18" s="26" t="str">
        <x:v>2026-03-30</x:v>
      </x:c>
      <x:c r="I18" s="26" t="str">
        <x:v>Old bundle identity; verify no old app is used</x:v>
      </x:c>
    </x:row>
    <x:row r="19">
      <x:c r="A19" s="26" t="str">
        <x:v>Historical cache</x:v>
      </x:c>
      <x:c r="B19" s="26" t="str">
        <x:v>~/Library/Caches/noType</x:v>
      </x:c>
      <x:c r="C19" s="26" t="str">
        <x:v>Optional cleanup</x:v>
      </x:c>
      <x:c r="D19" s="26" t="n">
        <x:v>131228</x:v>
      </x:c>
      <x:c r="E19" s="26" t="n">
        <x:v>131228</x:v>
      </x:c>
      <x:c r="F19" s="28" t="n">
        <x:f>D19/1048576</x:f>
        <x:v>0.12514877319335938</x:v>
      </x:c>
      <x:c r="G19" s="28" t="n">
        <x:f>E19/1048576</x:f>
        <x:v>0.12514877319335938</x:v>
      </x:c>
      <x:c r="H19" s="26" t="str">
        <x:v>2026-03-30</x:v>
      </x:c>
      <x:c r="I19" s="26" t="str">
        <x:v>Old bundle identity; verify no old app is used</x:v>
      </x:c>
    </x:row>
    <x:row r="20">
      <x:c r="A20" s="26" t="str">
        <x:v>Swift build cache</x:v>
      </x:c>
      <x:c r="B20" s="26" t="str">
        <x:v>.build</x:v>
      </x:c>
      <x:c r="C20" s="26" t="str">
        <x:v>Rebuildable</x:v>
      </x:c>
      <x:c r="D20" s="26" t="n">
        <x:v>1948132</x:v>
      </x:c>
      <x:c r="E20" s="26" t="n">
        <x:v>1948132</x:v>
      </x:c>
      <x:c r="F20" s="28" t="n">
        <x:f>D20/1048576</x:f>
        <x:v>1.8578834533691406</x:v>
      </x:c>
      <x:c r="G20" s="28" t="n">
        <x:f>E20/1048576</x:f>
        <x:v>1.8578834533691406</x:v>
      </x:c>
      <x:c r="H20" s="26" t="str">
        <x:v>2026-08-16</x:v>
      </x:c>
      <x:c r="I20" s="26" t="str">
        <x:v>Developer build output; safe to rebuild</x:v>
      </x:c>
    </x:row>
    <x:row r="21">
      <x:c r="A21" s="26" t="str">
        <x:v>Vendor CLI build</x:v>
      </x:c>
      <x:c r="B21" s="26" t="str">
        <x:v>Vendor/WhisperKit-main/.build</x:v>
      </x:c>
      <x:c r="C21" s="26" t="str">
        <x:v>Rebuildable</x:v>
      </x:c>
      <x:c r="D21" s="26" t="n">
        <x:v>577408</x:v>
      </x:c>
      <x:c r="E21" s="26" t="n">
        <x:v>577408</x:v>
      </x:c>
      <x:c r="F21" s="28" t="n">
        <x:f>D21/1048576</x:f>
        <x:v>0.5506591796875</x:v>
      </x:c>
      <x:c r="G21" s="28" t="n">
        <x:f>E21/1048576</x:f>
        <x:v>0.5506591796875</x:v>
      </x:c>
      <x:c r="H21" s="26" t="str">
        <x:v>2026-08-16</x:v>
      </x:c>
      <x:c r="I21" s="26" t="str">
        <x:v>Benchmark CLI build output; safe to rebuild</x:v>
      </x:c>
    </x:row>
    <x:row r="24">
      <x:c r="A24" s="41" t="str">
        <x:v>Current total shown above</x:v>
      </x:c>
      <x:c r="B24" s="41"/>
      <x:c r="C24" s="41"/>
      <x:c r="D24" s="41" t="n">
        <x:f>SUM(E9:E21)</x:f>
        <x:v>11687308</x:v>
      </x:c>
      <x:c r="E24" s="41" t="str">
        <x:v>KiB</x:v>
      </x:c>
      <x:c r="F24" s="200" t="n">
        <x:f>D24/1048576</x:f>
        <x:v>11.145885467529297</x:v>
      </x:c>
      <x:c r="G24" s="41" t="str">
        <x:v>GiB</x:v>
      </x:c>
      <x:c r="H24" s="41"/>
      <x:c r="I24" s="41"/>
    </x:row>
    <x:row r="26">
      <x:c r="A26" t="str">
        <x:v>Core ML cache</x:v>
      </x:c>
      <x:c r="B26" t="str">
        <x:v>Before cleanup (GiB)</x:v>
      </x:c>
      <x:c r="C26" t="str">
        <x:v>Current valid cache (GiB)</x:v>
      </x:c>
    </x:row>
    <x:row r="27">
      <x:c r="A27" t="str">
        <x:v>NoType</x:v>
      </x:c>
      <x:c r="B27" t="n">
        <x:f>(6705436+561440)/1048576</x:f>
        <x:v>6.930233001708984</x:v>
      </x:c>
      <x:c r="C27" t="n">
        <x:f>704712/1048576</x:f>
        <x:v>0.6720657348632812</x:v>
      </x:c>
    </x:row>
    <x:row r="28">
      <x:c r="A28"/>
      <x:c r="B28"/>
      <x:c r="C28"/>
    </x:row>
  </x:sheetData>
  <x:mergeCells>
    <x:mergeCell ref="A1:I1"/>
    <x:mergeCell ref="A2:I2"/>
    <x:mergeCell ref="A3:C3"/>
    <x:mergeCell ref="A4:C5"/>
    <x:mergeCell ref="A6:C6"/>
    <x:mergeCell ref="D3:F3"/>
    <x:mergeCell ref="D4:F5"/>
    <x:mergeCell ref="D6:F6"/>
    <x:mergeCell ref="G3:I3"/>
    <x:mergeCell ref="G4:I5"/>
    <x:mergeCell ref="G6:I6"/>
  </x:mergeCells>
  <x:conditionalFormatting sqref="G9:G21">
    <x:cfRule type="dataBar" priority="1">
      <x:dataBar>
        <x:cfvo type="min"/>
        <x:cfvo type="max"/>
        <x:color rgb="FF0F766E"/>
      </x:dataBar>
      <x:extLst>
        <x:ext xmlns:x14="http://schemas.microsoft.com/office/spreadsheetml/2009/9/main" uri="{B025F937-C7B1-47D3-B67F-A62EFF666E3E}">
          <x14:id>{EDACD9BB-BA24-74DE-EB6E-B7D0B3A6FF26}</x14:id>
        </x:ext>
      </x:extLst>
    </x:cfRule>
  </x:conditionalFormatting>
  <x:conditionalFormatting sqref="C9:C21">
    <x:cfRule type="containsText" dxfId="2" priority="2" operator="containsText" text="Removed"/>
    <x:cfRule type="containsText" dxfId="3" priority="3" operator="containsText" text="Rebuildable"/>
  </x:conditionalFormatting>
  <x:pageMargins left="0.7" right="0.7" top="0.75" bottom="0.75" header="0.3" footer="0.3"/>
  <x:drawing xmlns:r="http://schemas.openxmlformats.org/officeDocument/2006/relationships" r:id="R5d267aa0d413449f"/>
  <x:extLst>
    <x:ext xmlns:x14="http://schemas.microsoft.com/office/spreadsheetml/2009/9/main" xmlns:xm="http://schemas.microsoft.com/office/excel/2006/main" uri="{78C0D931-6437-407d-A8EE-F0AAD7539E65}">
      <x14:conditionalFormattings>
        <x14:conditionalFormatting>
          <x14:cfRule type="dataBar" priority="1" id="{EDACD9BB-BA24-74DE-EB6E-B7D0B3A6FF26}">
            <x14:dataBar gradient="1">
              <x14:cfvo type="min"/>
              <x14:cfvo type="max"/>
              <x14:fillColor rgb="FF0F766E"/>
            </x14:dataBar>
          </x14:cfRule>
          <xm:sqref>G9:G21</xm:sqref>
        </x14:conditionalFormatting>
      </x14:conditionalFormattings>
    </x:ext>
  </x:extLst>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24" hidden="0" customWidth="1"/>
    <x:col min="3" max="3" width="24" hidden="0" customWidth="1"/>
    <x:col min="4" max="4" width="46" hidden="0" customWidth="1"/>
    <x:col min="5" max="5" width="3" hidden="0" customWidth="1"/>
    <x:col min="6" max="6" width="20" hidden="0" customWidth="1"/>
    <x:col min="7" max="7" width="20" hidden="0" customWidth="1"/>
    <x:col min="8" max="8" width="20" hidden="0" customWidth="1"/>
  </x:cols>
  <x:sheetData>
    <x:row r="1" ht="34" customHeight="1">
      <x:c r="A1" s="3" t="str">
        <x:v>What Actually Changed in the Local Model Package</x:v>
      </x:c>
      <x:c r="B1" s="3" t="str">
        <x:v>What Actually Changed in the Local Model Package</x:v>
      </x:c>
      <x:c r="C1" s="3" t="str">
        <x:v>What Actually Changed in the Local Model Package</x:v>
      </x:c>
      <x:c r="D1" s="3" t="str">
        <x:v>What Actually Changed in the Local Model Package</x:v>
      </x:c>
      <x:c r="E1" s="3" t="str">
        <x:v>What Actually Changed in the Local Model Package</x:v>
      </x:c>
      <x:c r="F1" s="3" t="str">
        <x:v>What Actually Changed in the Local Model Package</x:v>
      </x:c>
      <x:c r="G1" s="3" t="str">
        <x:v>What Actually Changed in the Local Model Package</x:v>
      </x:c>
      <x:c r="H1" s="3" t="str">
        <x:v>What Actually Changed in the Local Model Package</x:v>
      </x:c>
    </x:row>
    <x:row r="2" ht="28" customHeight="1">
      <x:c r="A2" s="6" t="str">
        <x:v>The app exposes one active local model. Two development folders remain on disk only for rollback and A/B testing.</x:v>
      </x:c>
      <x:c r="B2" s="6" t="str">
        <x:v>The app exposes one active local model. Two development folders remain on disk only for rollback and A/B testing.</x:v>
      </x:c>
      <x:c r="C2" s="6" t="str">
        <x:v>The app exposes one active local model. Two development folders remain on disk only for rollback and A/B testing.</x:v>
      </x:c>
      <x:c r="D2" s="6" t="str">
        <x:v>The app exposes one active local model. Two development folders remain on disk only for rollback and A/B testing.</x:v>
      </x:c>
      <x:c r="E2" s="6" t="str">
        <x:v>The app exposes one active local model. Two development folders remain on disk only for rollback and A/B testing.</x:v>
      </x:c>
      <x:c r="F2" s="6" t="str">
        <x:v>The app exposes one active local model. Two development folders remain on disk only for rollback and A/B testing.</x:v>
      </x:c>
      <x:c r="G2" s="6" t="str">
        <x:v>The app exposes one active local model. Two development folders remain on disk only for rollback and A/B testing.</x:v>
      </x:c>
      <x:c r="H2" s="6" t="str">
        <x:v>The app exposes one active local model. Two development folders remain on disk only for rollback and A/B testing.</x:v>
      </x:c>
    </x:row>
    <x:row r="4" ht="28" customHeight="1">
      <x:c r="A4" s="17" t="str">
        <x:v>Attribute</x:v>
      </x:c>
      <x:c r="B4" s="18" t="str">
        <x:v>Previous package</x:v>
      </x:c>
      <x:c r="C4" s="18" t="str">
        <x:v>Turbo package</x:v>
      </x:c>
      <x:c r="D4" s="19" t="str">
        <x:v>Observed difference</x:v>
      </x:c>
    </x:row>
    <x:row r="5">
      <x:c r="A5" s="25" t="str">
        <x:v>User-facing model choices</x:v>
      </x:c>
      <x:c r="B5" s="25" t="str">
        <x:v>One</x:v>
      </x:c>
      <x:c r="C5" s="25" t="str">
        <x:v>One</x:v>
      </x:c>
      <x:c r="D5" s="25" t="str">
        <x:v>No model picker; Turbo replaced the active path</x:v>
      </x:c>
    </x:row>
    <x:row r="6">
      <x:c r="A6" s="26" t="str">
        <x:v>Core ML submodels</x:v>
      </x:c>
      <x:c r="B6" s="26" t="n">
        <x:v>3</x:v>
      </x:c>
      <x:c r="C6" s="26" t="n">
        <x:v>4</x:v>
      </x:c>
      <x:c r="D6" s="26" t="str">
        <x:v>+ TextDecoderContextPrefill</x:v>
      </x:c>
    </x:row>
    <x:row r="7">
      <x:c r="A7" s="26" t="str">
        <x:v>Storage precision</x:v>
      </x:c>
      <x:c r="B7" s="26" t="str">
        <x:v>Float16</x:v>
      </x:c>
      <x:c r="C7" s="26" t="str">
        <x:v>Float16</x:v>
      </x:c>
      <x:c r="D7" s="26" t="str">
        <x:v>Same</x:v>
      </x:c>
    </x:row>
    <x:row r="8">
      <x:c r="A8" s="26" t="str">
        <x:v>Encoder layers</x:v>
      </x:c>
      <x:c r="B8" s="26" t="n">
        <x:v>32</x:v>
      </x:c>
      <x:c r="C8" s="26" t="n">
        <x:v>32</x:v>
      </x:c>
      <x:c r="D8" s="26" t="str">
        <x:v>Same config</x:v>
      </x:c>
    </x:row>
    <x:row r="9">
      <x:c r="A9" s="26" t="str">
        <x:v>Decoder layers</x:v>
      </x:c>
      <x:c r="B9" s="26" t="n">
        <x:v>4</x:v>
      </x:c>
      <x:c r="C9" s="26" t="n">
        <x:v>4</x:v>
      </x:c>
      <x:c r="D9" s="26" t="str">
        <x:v>Same config</x:v>
      </x:c>
    </x:row>
    <x:row r="10">
      <x:c r="A10" s="26" t="str">
        <x:v>Hidden size</x:v>
      </x:c>
      <x:c r="B10" s="26" t="n">
        <x:v>1280</x:v>
      </x:c>
      <x:c r="C10" s="26" t="n">
        <x:v>1280</x:v>
      </x:c>
      <x:c r="D10" s="26" t="str">
        <x:v>Same config</x:v>
      </x:c>
    </x:row>
    <x:row r="11">
      <x:c r="A11" s="26" t="str">
        <x:v>Vocabulary</x:v>
      </x:c>
      <x:c r="B11" s="26" t="n">
        <x:v>51866</x:v>
      </x:c>
      <x:c r="C11" s="26" t="n">
        <x:v>51866</x:v>
      </x:c>
      <x:c r="D11" s="26" t="str">
        <x:v>Same config</x:v>
      </x:c>
    </x:row>
    <x:row r="12">
      <x:c r="A12" s="26" t="str">
        <x:v>Text-decoder KV cache</x:v>
      </x:c>
      <x:c r="B12" s="26" t="n">
        <x:v>448</x:v>
      </x:c>
      <x:c r="C12" s="26" t="n">
        <x:v>224</x:v>
      </x:c>
      <x:c r="D12" s="26" t="str">
        <x:v>Turbo halves the maximum cache sequence length</x:v>
      </x:c>
    </x:row>
    <x:row r="13">
      <x:c r="A13" s="26" t="str">
        <x:v>Context prefill</x:v>
      </x:c>
      <x:c r="B13" s="26" t="str">
        <x:v>Absent</x:v>
      </x:c>
      <x:c r="C13" s="26" t="str">
        <x:v>12,020 KiB model</x:v>
      </x:c>
      <x:c r="D13" s="26" t="str">
        <x:v>Leading special tokens can prefill the KV cache</x:v>
      </x:c>
    </x:row>
    <x:row r="14">
      <x:c r="A14" s="26" t="str">
        <x:v>Encoder/decoder weights</x:v>
      </x:c>
      <x:c r="B14" s="26" t="str">
        <x:v>Baseline hashes</x:v>
      </x:c>
      <x:c r="C14" s="26" t="str">
        <x:v>Same weight.bin hashes</x:v>
      </x:c>
      <x:c r="D14" s="26" t="str">
        <x:v>Weights match for AudioEncoder and TextDecoder</x:v>
      </x:c>
    </x:row>
    <x:row r="15">
      <x:c r="A15" s="26" t="str">
        <x:v>Compiled MIL/CoreML data</x:v>
      </x:c>
      <x:c r="B15" s="26" t="str">
        <x:v>Baseline</x:v>
      </x:c>
      <x:c r="C15" s="26" t="str">
        <x:v>Different hashes</x:v>
      </x:c>
      <x:c r="D15" s="26" t="str">
        <x:v>Compiled programs/interfaces differ despite matching weights</x:v>
      </x:c>
    </x:row>
    <x:row r="18" ht="23" customHeight="1">
      <x:c r="A18" s="42" t="str">
        <x:v>Component disk size</x:v>
      </x:c>
      <x:c r="B18" s="42" t="str">
        <x:v>Component disk size</x:v>
      </x:c>
      <x:c r="C18" s="42" t="str">
        <x:v>Component disk size</x:v>
      </x:c>
      <x:c r="D18" s="42" t="str">
        <x:v>Component disk size</x:v>
      </x:c>
      <x:c r="E18" s="42" t="str">
        <x:v>Component disk size</x:v>
      </x:c>
      <x:c r="F18" s="42" t="str">
        <x:v>Component disk size</x:v>
      </x:c>
      <x:c r="G18" s="42" t="str">
        <x:v>Component disk size</x:v>
      </x:c>
      <x:c r="H18" s="42" t="str">
        <x:v>Component disk size</x:v>
      </x:c>
    </x:row>
    <x:row r="19" ht="28" customHeight="1">
      <x:c r="A19" s="17" t="str">
        <x:v>Component</x:v>
      </x:c>
      <x:c r="B19" s="18" t="str">
        <x:v>Previous (KiB)</x:v>
      </x:c>
      <x:c r="C19" s="18" t="str">
        <x:v>Turbo (KiB)</x:v>
      </x:c>
      <x:c r="D19" s="19" t="str">
        <x:v>Delta (KiB)</x:v>
      </x:c>
      <x:c r="F19" s="17" t="str">
        <x:v>Model</x:v>
      </x:c>
      <x:c r="G19" s="18" t="str">
        <x:v>Total package (GiB)</x:v>
      </x:c>
      <x:c r="H19" s="19" t="str">
        <x:v>Submodels</x:v>
      </x:c>
    </x:row>
    <x:row r="20">
      <x:c r="A20" s="25" t="str">
        <x:v>AudioEncoder</x:v>
      </x:c>
      <x:c r="B20" s="25" t="n">
        <x:v>1245076</x:v>
      </x:c>
      <x:c r="C20" s="25" t="n">
        <x:v>1251568</x:v>
      </x:c>
      <x:c r="D20" s="25" t="n">
        <x:f>C20-B20</x:f>
        <x:v>6492</x:v>
      </x:c>
      <x:c r="F20" s="25" t="str">
        <x:v>Previous</x:v>
      </x:c>
      <x:c r="G20" s="27" t="n">
        <x:v>1.50836181640625</x:v>
      </x:c>
      <x:c r="H20" s="25" t="n">
        <x:v>3</x:v>
      </x:c>
    </x:row>
    <x:row r="21">
      <x:c r="A21" s="26" t="str">
        <x:v>MelSpectrogram</x:v>
      </x:c>
      <x:c r="B21" s="26" t="n">
        <x:v>404</x:v>
      </x:c>
      <x:c r="C21" s="26" t="n">
        <x:v>392</x:v>
      </x:c>
      <x:c r="D21" s="26" t="n">
        <x:f>C21-B21</x:f>
        <x:v>-12</x:v>
      </x:c>
      <x:c r="F21" s="26" t="str">
        <x:v>Turbo</x:v>
      </x:c>
      <x:c r="G21" s="28" t="n">
        <x:v>1.5259971618652344</x:v>
      </x:c>
      <x:c r="H21" s="26" t="n">
        <x:v>4</x:v>
      </x:c>
    </x:row>
    <x:row r="22">
      <x:c r="A22" s="26" t="str">
        <x:v>TextDecoder</x:v>
      </x:c>
      <x:c r="B22" s="26" t="n">
        <x:v>336136</x:v>
      </x:c>
      <x:c r="C22" s="26" t="n">
        <x:v>336136</x:v>
      </x:c>
      <x:c r="D22" s="26" t="n">
        <x:f>C22-B22</x:f>
        <x:v>0</x:v>
      </x:c>
    </x:row>
    <x:row r="23">
      <x:c r="A23" s="26" t="str">
        <x:v>TextDecoderContextPrefill</x:v>
      </x:c>
      <x:c r="B23" s="26" t="n">
        <x:v>0</x:v>
      </x:c>
      <x:c r="C23" s="26" t="n">
        <x:v>12020</x:v>
      </x:c>
      <x:c r="D23" s="26" t="n">
        <x:f>C23-B23</x:f>
        <x:v>12020</x:v>
      </x:c>
    </x:row>
    <x:row r="26" ht="23" customHeight="1">
      <x:c r="A26" s="42" t="str">
        <x:v>Why Turbo is faster here</x:v>
      </x:c>
      <x:c r="B26" s="42" t="str">
        <x:v>Why Turbo is faster here</x:v>
      </x:c>
      <x:c r="C26" s="42" t="str">
        <x:v>Why Turbo is faster here</x:v>
      </x:c>
      <x:c r="D26" s="42" t="str">
        <x:v>Why Turbo is faster here</x:v>
      </x:c>
      <x:c r="E26" s="42" t="str">
        <x:v>Why Turbo is faster here</x:v>
      </x:c>
      <x:c r="F26" s="42" t="str">
        <x:v>Why Turbo is faster here</x:v>
      </x:c>
      <x:c r="G26" s="42" t="str">
        <x:v>Why Turbo is faster here</x:v>
      </x:c>
      <x:c r="H26" s="42" t="str">
        <x:v>Why Turbo is faster here</x:v>
      </x:c>
    </x:row>
    <x:row r="27">
      <x:c r="A27" s="219"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B27" s="220"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C27" s="220"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D27" s="220"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E27" s="220"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F27" s="220"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G27" s="220"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H27" s="221"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row>
    <x:row r="28">
      <x:c r="A28" s="222"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B28"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C28"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D28"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E28"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F28"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G28"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H28" s="224"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row>
    <x:row r="29">
      <x:c r="A29" s="222"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B29"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C29"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D29"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E29"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F29"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G29"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H29" s="224"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row>
    <x:row r="30">
      <x:c r="A30" s="222"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B30"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C30"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D30"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E30"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F30"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G30" s="223"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H30" s="224"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row>
    <x:row r="31">
      <x:c r="A31" s="225"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B31" s="226"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C31" s="226"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D31" s="226"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E31" s="226"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F31" s="226"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G31" s="226"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c r="H31" s="227" t="str">
        <x:v>On the controlled fixture, Turbo cut median full-pipeline time by about 30% and encoding time by about 46%. The package adds a context-prefill model, uses a shorter decoder KV-cache interface, and contains different compiled MIL/CoreML artifacts while retaining matching AudioEncoder/TextDecoder weight files. The measured encoding gain cannot be attributed to the prefill helper alone; it is an observed package-level result, not proof of one specific internal compiler optimization.</x:v>
      </x:c>
    </x:row>
  </x:sheetData>
  <x:mergeCells>
    <x:mergeCell ref="A1:H1"/>
    <x:mergeCell ref="A2:H2"/>
    <x:mergeCell ref="A18:H18"/>
    <x:mergeCell ref="A26:H26"/>
    <x:mergeCell ref="A27:H31"/>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54" hidden="0" customWidth="1"/>
    <x:col min="3" max="3" width="52" hidden="0" customWidth="1"/>
    <x:col min="4" max="4" width="13" hidden="0" customWidth="1"/>
    <x:col min="5" max="5" width="13" hidden="0" customWidth="1"/>
    <x:col min="6" max="6" width="13" hidden="0" customWidth="1"/>
    <x:col min="7" max="7" width="13" hidden="0" customWidth="1"/>
    <x:col min="8" max="8" width="13" hidden="0" customWidth="1"/>
  </x:cols>
  <x:sheetData>
    <x:row r="1" ht="34" customHeight="1">
      <x:c r="A1" s="3" t="str">
        <x:v>Method, Evidence, and Limitations</x:v>
      </x:c>
      <x:c r="B1" s="3" t="str">
        <x:v>Method, Evidence, and Limitations</x:v>
      </x:c>
      <x:c r="C1" s="3" t="str">
        <x:v>Method, Evidence, and Limitations</x:v>
      </x:c>
      <x:c r="D1" s="3" t="str">
        <x:v>Method, Evidence, and Limitations</x:v>
      </x:c>
      <x:c r="E1" s="3" t="str">
        <x:v>Method, Evidence, and Limitations</x:v>
      </x:c>
      <x:c r="F1" s="3" t="str">
        <x:v>Method, Evidence, and Limitations</x:v>
      </x:c>
      <x:c r="G1" s="3" t="str">
        <x:v>Method, Evidence, and Limitations</x:v>
      </x:c>
      <x:c r="H1" s="3" t="str">
        <x:v>Method, Evidence, and Limitations</x:v>
      </x:c>
    </x:row>
    <x:row r="2" ht="28" customHeight="1">
      <x:c r="A2" s="6" t="str">
        <x:v>Everything below is intended to make the workbook reproducible and keep measured facts separate from inference.</x:v>
      </x:c>
      <x:c r="B2" s="6" t="str">
        <x:v>Everything below is intended to make the workbook reproducible and keep measured facts separate from inference.</x:v>
      </x:c>
      <x:c r="C2" s="6" t="str">
        <x:v>Everything below is intended to make the workbook reproducible and keep measured facts separate from inference.</x:v>
      </x:c>
      <x:c r="D2" s="6" t="str">
        <x:v>Everything below is intended to make the workbook reproducible and keep measured facts separate from inference.</x:v>
      </x:c>
      <x:c r="E2" s="6" t="str">
        <x:v>Everything below is intended to make the workbook reproducible and keep measured facts separate from inference.</x:v>
      </x:c>
      <x:c r="F2" s="6" t="str">
        <x:v>Everything below is intended to make the workbook reproducible and keep measured facts separate from inference.</x:v>
      </x:c>
      <x:c r="G2" s="6" t="str">
        <x:v>Everything below is intended to make the workbook reproducible and keep measured facts separate from inference.</x:v>
      </x:c>
      <x:c r="H2" s="6" t="str">
        <x:v>Everything below is intended to make the workbook reproducible and keep measured facts separate from inference.</x:v>
      </x:c>
    </x:row>
    <x:row r="4" ht="28" customHeight="1">
      <x:c r="A4" s="17" t="str">
        <x:v>Area</x:v>
      </x:c>
      <x:c r="B4" s="18" t="str">
        <x:v>Value</x:v>
      </x:c>
      <x:c r="C4" s="19" t="str">
        <x:v>Evidence / command</x:v>
      </x:c>
    </x:row>
    <x:row r="5">
      <x:c r="A5" s="25" t="str">
        <x:v>Machine</x:v>
      </x:c>
      <x:c r="B5" s="25" t="str">
        <x:v>MacBook Pro Mac16,1 · Apple M4 · 16 GB</x:v>
      </x:c>
      <x:c r="C5" s="25" t="str">
        <x:v>system_profiler SPHardwareDataType</x:v>
      </x:c>
    </x:row>
    <x:row r="6">
      <x:c r="A6" s="26" t="str">
        <x:v>OS</x:v>
      </x:c>
      <x:c r="B6" s="26" t="str">
        <x:v>macOS 26.6.1 (25G76), arm64</x:v>
      </x:c>
      <x:c r="C6" s="26" t="str">
        <x:v>sw_vers; uname -m</x:v>
      </x:c>
    </x:row>
    <x:row r="7">
      <x:c r="A7" s="26" t="str">
        <x:v>Fixture</x:v>
      </x:c>
      <x:c r="B7" s="26" t="str">
        <x:v>12.4278125 s local Tingting TTS, mixed Chinese/English</x:v>
      </x:c>
      <x:c r="C7" s="26" t="str">
        <x:v>say -v Tingting -r 160; afinfo</x:v>
      </x:c>
    </x:row>
    <x:row r="8">
      <x:c r="A8" s="26" t="str">
        <x:v>A/B design</x:v>
      </x:c>
      <x:c r="B8" s="26" t="str">
        <x:v>7 alternating warm-cache runs per model</x:v>
      </x:c>
      <x:c r="C8" s="26" t="str">
        <x:v>WhisperKit CLI, same flags and audio</x:v>
      </x:c>
    </x:row>
    <x:row r="9">
      <x:c r="A9" s="26" t="str">
        <x:v>Inference timing</x:v>
      </x:c>
      <x:c r="B9" s="26" t="str">
        <x:v>WhisperKit JSON: fullPipeline, decodingLoop, encoding, prefill</x:v>
      </x:c>
      <x:c r="C9" s="26" t="str">
        <x:v>--report output</x:v>
      </x:c>
    </x:row>
    <x:row r="10">
      <x:c r="A10" s="26" t="str">
        <x:v>Memory</x:v>
      </x:c>
      <x:c r="B10" s="26" t="str">
        <x:v>rusage max RSS and peak memory footprint</x:v>
      </x:c>
      <x:c r="C10" s="26" t="str">
        <x:v>/usr/bin/time -l</x:v>
      </x:c>
    </x:row>
    <x:row r="11">
      <x:c r="A11" s="26" t="str">
        <x:v>Operational success</x:v>
      </x:c>
      <x:c r="B11" s="26" t="str">
        <x:v>Non-empty completed result / attempted runs</x:v>
      </x:c>
      <x:c r="C11" s="26" t="str">
        <x:v>7/7 for each model</x:v>
      </x:c>
    </x:row>
    <x:row r="12">
      <x:c r="A12" s="26" t="str">
        <x:v>CER</x:v>
      </x:c>
      <x:c r="B12" s="26" t="str">
        <x:v>Unicode-code-point Levenshtein / 68 normalized reference characters</x:v>
      </x:c>
      <x:c r="C12" s="26" t="str">
        <x:v>Lowercase; NFKC; Traditional→Simplified; remove whitespace/punctuation</x:v>
      </x:c>
    </x:row>
    <x:row r="13">
      <x:c r="A13" s="26" t="str">
        <x:v>Cold App load</x:v>
      </x:c>
      <x:c r="B13" s="26" t="str">
        <x:v>118 s after installing this build</x:v>
      </x:c>
      <x:c r="C13" s="26" t="str">
        <x:v>App log 17:32:42Z → pipeline ready 17:34:40Z</x:v>
      </x:c>
    </x:row>
    <x:row r="14">
      <x:c r="A14" s="26" t="str">
        <x:v>Warm App restart</x:v>
      </x:c>
      <x:c r="B14" s="26" t="str">
        <x:v>&lt;1 s observed</x:v>
      </x:c>
      <x:c r="C14" s="26" t="str">
        <x:v>App log loaded and ready within 17:35:30Z</x:v>
      </x:c>
    </x:row>
    <x:row r="15">
      <x:c r="A15" s="26" t="str">
        <x:v>Storage</x:v>
      </x:c>
      <x:c r="B15" s="26" t="str">
        <x:v>Allocated KiB and exact cache directory inventory</x:v>
      </x:c>
      <x:c r="C15" s="26" t="str">
        <x:v>du -sk; find; stat</x:v>
      </x:c>
    </x:row>
    <x:row r="18" ht="23" customHeight="1">
      <x:c r="A18" s="42" t="str">
        <x:v>Cache reuse rules</x:v>
      </x:c>
      <x:c r="B18" s="42" t="str">
        <x:v>Cache reuse rules</x:v>
      </x:c>
      <x:c r="C18" s="42" t="str">
        <x:v>Cache reuse rules</x:v>
      </x:c>
      <x:c r="D18" s="42" t="str">
        <x:v>Cache reuse rules</x:v>
      </x:c>
      <x:c r="E18" s="42" t="str">
        <x:v>Cache reuse rules</x:v>
      </x:c>
      <x:c r="F18" s="42" t="str">
        <x:v>Cache reuse rules</x:v>
      </x:c>
      <x:c r="G18" s="42" t="str">
        <x:v>Cache reuse rules</x:v>
      </x:c>
      <x:c r="H18" s="42" t="str">
        <x:v>Cache reuse rules</x:v>
      </x:c>
    </x:row>
    <x:row r="19">
      <x:c r="A19" s="246"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B19" s="247"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C19" s="247"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D19" s="247"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E19" s="247"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F19" s="247"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G19" s="247"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H19" s="248"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row>
    <x:row r="20">
      <x:c r="A20" s="249"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B20"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C20"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D20"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E20"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F20"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G20"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H20" s="251"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row>
    <x:row r="21">
      <x:c r="A21" s="249"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B21"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C21"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D21"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E21"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F21"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G21"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H21" s="251"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row>
    <x:row r="22">
      <x:c r="A22" s="249"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B22"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C22"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D22"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E22"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F22"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G22" s="250"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H22" s="251"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row>
    <x:row r="23">
      <x:c r="A23" s="252"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B23" s="253"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C23" s="253"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D23" s="253"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E23" s="253"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F23" s="253"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G23" s="253"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c r="H23" s="254" t="str">
        <x:v>Completed Core ML specialization caches normally survive both app restarts and Mac restarts. The installed build proved this: a normal restart reached Ready in the same log second. Replacing the app bundle created a new cache identity and triggered one 118 s specialization despite the same model path; it added eight completed bundles, bringing the current total to 40. macOS may also invalidate or evict caches after an OS update, model/configuration change, or low-disk cleanup. This audit deleted only seven stale .tmp.&lt;old PID&gt;.bundle directories.</x:v>
      </x:c>
    </x:row>
    <x:row r="26" ht="23" customHeight="1">
      <x:c r="A26" s="42" t="str">
        <x:v>Sources</x:v>
      </x:c>
      <x:c r="B26" s="42" t="str">
        <x:v>Sources</x:v>
      </x:c>
      <x:c r="C26" s="42" t="str">
        <x:v>Sources</x:v>
      </x:c>
      <x:c r="D26" s="42" t="str">
        <x:v>Sources</x:v>
      </x:c>
      <x:c r="E26" s="42" t="str">
        <x:v>Sources</x:v>
      </x:c>
      <x:c r="F26" s="42" t="str">
        <x:v>Sources</x:v>
      </x:c>
      <x:c r="G26" s="42" t="str">
        <x:v>Sources</x:v>
      </x:c>
      <x:c r="H26" s="42" t="str">
        <x:v>Sources</x:v>
      </x:c>
    </x:row>
    <x:row r="27">
      <x:c r="A27" s="25" t="str">
        <x:v>Apple Core ML async integration</x:v>
      </x:c>
      <x:c r="B27" s="25" t="str">
        <x:v>https://developer.apple.com/videos/play/wwdc2023/10049/?time=429</x:v>
      </x:c>
      <x:c r="C27" s="25" t="str">
        <x:v>Cache check, specialization, and persistent on-disk assets</x:v>
      </x:c>
    </x:row>
    <x:row r="28">
      <x:c r="A28" s="26" t="str">
        <x:v>Apple MLModel</x:v>
      </x:c>
      <x:c r="B28" s="26" t="str">
        <x:v>https://developer.apple.com/documentation/coreml/mlmodel</x:v>
      </x:c>
      <x:c r="C28" s="26" t="str">
        <x:v>Core ML model loading API</x:v>
      </x:c>
    </x:row>
    <x:row r="29">
      <x:c r="A29" s="26" t="str">
        <x:v>WhisperKit source</x:v>
      </x:c>
      <x:c r="B29" s="26" t="str">
        <x:v>Vendor/WhisperKit-main</x:v>
      </x:c>
      <x:c r="C29" s="26" t="str">
        <x:v>Compute routing, timing fields, decoder behavior</x:v>
      </x:c>
    </x:row>
    <x:row r="30">
      <x:c r="A30" s="26" t="str">
        <x:v>Core ML model metadata</x:v>
      </x:c>
      <x:c r="B30" s="26" t="str">
        <x:v>xcrun coremlcompiler metadata</x:v>
      </x:c>
      <x:c r="C30" s="26" t="str">
        <x:v>Precision, shapes, operation histogram, KV-cache length</x:v>
      </x:c>
    </x:row>
    <x:row r="31">
      <x:c r="A31" s="26" t="str">
        <x:v>Project source</x:v>
      </x:c>
      <x:c r="B31" s="26" t="str">
        <x:v>Sources/Typeless</x:v>
      </x:c>
      <x:c r="C31" s="26" t="str">
        <x:v>Active Turbo path, prewarm lifecycle, retained pipeline</x:v>
      </x:c>
    </x:row>
    <x:row r="34" ht="23" customHeight="1">
      <x:c r="A34" s="42" t="str">
        <x:v>Limitations</x:v>
      </x:c>
      <x:c r="B34" s="42" t="str">
        <x:v>Limitations</x:v>
      </x:c>
      <x:c r="C34" s="42" t="str">
        <x:v>Limitations</x:v>
      </x:c>
      <x:c r="D34" s="42" t="str">
        <x:v>Limitations</x:v>
      </x:c>
      <x:c r="E34" s="42" t="str">
        <x:v>Limitations</x:v>
      </x:c>
      <x:c r="F34" s="42" t="str">
        <x:v>Limitations</x:v>
      </x:c>
      <x:c r="G34" s="42" t="str">
        <x:v>Limitations</x:v>
      </x:c>
      <x:c r="H34" s="42" t="str">
        <x:v>Limitations</x:v>
      </x:c>
    </x:row>
    <x:row r="35">
      <x:c r="A35" s="62"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B35" s="63"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C35" s="63"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D35" s="63"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E35" s="63"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F35" s="63"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G35" s="63"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H35" s="64"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row>
    <x:row r="36">
      <x:c r="A36" s="65"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B36"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C36"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D36"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E36"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F36"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G36"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H36" s="67"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row>
    <x:row r="37">
      <x:c r="A37" s="65"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B37"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C37"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D37"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E37"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F37"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G37"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H37" s="67"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row>
    <x:row r="38">
      <x:c r="A38" s="65"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B38"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C38"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D38"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E38"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F38"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G38" s="66"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H38" s="67"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row>
    <x:row r="39">
      <x:c r="A39" s="68"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B39" s="69"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C39" s="69"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D39" s="69"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E39" s="69"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F39" s="69"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G39" s="69"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c r="H39" s="70" t="str">
        <x:v>One synthetic fixture is enough to compare controlled latency and reproducibility, but not to establish population-level transcription quality. Model loading in the independent debug CLI created its own cache identity: one Turbo cold load took about 110 s, while subsequent CLI loads were about 0.9–1.8 s. Installed-app cold/warm timings are reported separately. Per-process GPU and Neural Engine memory are not exposed as a stable number; the report uses CPU-visible RSS/footprint and the configured compute routing instead.</x:v>
      </x:c>
    </x:row>
  </x:sheetData>
  <x:mergeCells>
    <x:mergeCell ref="A1:H1"/>
    <x:mergeCell ref="A2:H2"/>
    <x:mergeCell ref="A18:H18"/>
    <x:mergeCell ref="A19:H23"/>
    <x:mergeCell ref="A26:H26"/>
    <x:mergeCell ref="A34:H34"/>
    <x:mergeCell ref="A35:H39"/>
  </x:mergeCells>
  <x:pageMargins left="0.7" right="0.7" top="0.75" bottom="0.75" header="0.3" footer="0.3"/>
</x:worksheet>
</file>